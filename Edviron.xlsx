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2"/>
  </bookViews>
  <sheets>
    <sheet name="Raw_Data" sheetId="13" r:id="rId1"/>
    <sheet name="Clean_data" sheetId="1" r:id="rId2"/>
    <sheet name="tbl_transactions" sheetId="2" r:id="rId3"/>
    <sheet name="Revenue_Summary" sheetId="6" r:id="rId4"/>
    <sheet name="Partner_Performance" sheetId="7" r:id="rId5"/>
    <sheet name="Gateway_Analysis" sheetId="8" r:id="rId6"/>
    <sheet name="Exposure_Report" sheetId="9" r:id="rId7"/>
    <sheet name="Modeling" sheetId="10" r:id="rId8"/>
    <sheet name="Dashboard" sheetId="11" r:id="rId9"/>
    <sheet name="Assumptions_Notes" sheetId="12" r:id="rId10"/>
  </sheets>
  <definedNames>
    <definedName name="Slicer_Gateway">#N/A</definedName>
    <definedName name="Slicer_Payment_Method">#N/A</definedName>
    <definedName name="Slicer_Date">#N/A</definedName>
    <definedName name="Slicer_Institute_Name">#N/A</definedName>
  </definedNames>
  <calcPr calcId="191029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5"/>
        <x14:slicerCache r:id="rId14"/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<sst xmlns="http://schemas.openxmlformats.org/spreadsheetml/2006/main" count="1721" uniqueCount="389">
  <si>
    <t>Sr.No</t>
  </si>
  <si>
    <t>Institute Name</t>
  </si>
  <si>
    <t>Date &amp; Time</t>
  </si>
  <si>
    <t>Order ID</t>
  </si>
  <si>
    <t>Edviron order ID</t>
  </si>
  <si>
    <t>Order Amt</t>
  </si>
  <si>
    <t>Transaction Amt</t>
  </si>
  <si>
    <t>Payment Method</t>
  </si>
  <si>
    <t>payment_mode</t>
  </si>
  <si>
    <t>Status</t>
  </si>
  <si>
    <t>Student Name</t>
  </si>
  <si>
    <t>Phone No.</t>
  </si>
  <si>
    <t>Vendor Amount</t>
  </si>
  <si>
    <t>Gateway</t>
  </si>
  <si>
    <t>Capture Status</t>
  </si>
  <si>
    <t>Merchant Pricing</t>
  </si>
  <si>
    <t>Merchant Pricing Type</t>
  </si>
  <si>
    <t>Partner Pricing</t>
  </si>
  <si>
    <t>Partner Pricing Type</t>
  </si>
  <si>
    <t>Edviron Buying</t>
  </si>
  <si>
    <t>Edviron Buying type</t>
  </si>
  <si>
    <t>SBNM College of Pharmacy (D. Pharmacy &amp; B.Pharmarcy</t>
  </si>
  <si>
    <t>1/4/2025, 12:31:47 PM</t>
  </si>
  <si>
    <t>EDVI0000002711</t>
  </si>
  <si>
    <t>67eb8f5ba0b8c5db0650bf9c</t>
  </si>
  <si>
    <t>upi</t>
  </si>
  <si>
    <t>UPI</t>
  </si>
  <si>
    <t>SUCCESS</t>
  </si>
  <si>
    <t>RushikeshPatil</t>
  </si>
  <si>
    <t>NA</t>
  </si>
  <si>
    <t>CASHFREE</t>
  </si>
  <si>
    <t>FLAT</t>
  </si>
  <si>
    <t>R P College of Pharmacy</t>
  </si>
  <si>
    <t>11/4/2025, 11:51:49 AM</t>
  </si>
  <si>
    <t>EDVI0000002716</t>
  </si>
  <si>
    <t>67f8b4fdb7b5f003daf0968e</t>
  </si>
  <si>
    <t>Pranav Prakash Deshpande</t>
  </si>
  <si>
    <t>21/4/2025, 10:31:19 am</t>
  </si>
  <si>
    <t>EDVI0000002722</t>
  </si>
  <si>
    <t>6805d11f8218d3a8c0364231</t>
  </si>
  <si>
    <t>Dattatray Uttam Gholve</t>
  </si>
  <si>
    <t>29/4/2025, 11:10:54 am</t>
  </si>
  <si>
    <t>EDVI0000002724</t>
  </si>
  <si>
    <t>681066668dde280c7a057a3a</t>
  </si>
  <si>
    <t>Saniya Wajid Shaikh</t>
  </si>
  <si>
    <t>29/4/2025, 11:14:19 am</t>
  </si>
  <si>
    <t>EDVI0000002725</t>
  </si>
  <si>
    <t>68106733d4b7fd07d305e50a</t>
  </si>
  <si>
    <t>Pooja subhashprasad shukla</t>
  </si>
  <si>
    <t>30/4/2025, 1:53:35 pm</t>
  </si>
  <si>
    <t>EDVI0000004024</t>
  </si>
  <si>
    <t>6811de07d4b7fd07d306cb37</t>
  </si>
  <si>
    <t>BEGADE HALIMA BADSHAHA</t>
  </si>
  <si>
    <t>30/4/2025, 2:03:25 pm</t>
  </si>
  <si>
    <t>EDVI0000004025</t>
  </si>
  <si>
    <t>6811e055d4b7fd07d306ceed</t>
  </si>
  <si>
    <t>JADHAV GAURAV SANTOSH</t>
  </si>
  <si>
    <t>14/6/2025, 11:24:42 am</t>
  </si>
  <si>
    <t>EDVI0000004079</t>
  </si>
  <si>
    <t>684d0ea2b1091c01feb8de58</t>
  </si>
  <si>
    <t>Others</t>
  </si>
  <si>
    <t>SOHAM SAGAR KHOT</t>
  </si>
  <si>
    <t>7/7/2025, 4:08:10 PM</t>
  </si>
  <si>
    <t>EDVI0000004105</t>
  </si>
  <si>
    <t>686ba3924e76b124b7acdd57</t>
  </si>
  <si>
    <t>Test Student</t>
  </si>
  <si>
    <t>ST MICHAEL'S SCHOOL FOR GIRLS</t>
  </si>
  <si>
    <t>14/11/2025, 10:46:26 am</t>
  </si>
  <si>
    <t>SMED0000000331</t>
  </si>
  <si>
    <t>6916bb2afede88bc173e1480</t>
  </si>
  <si>
    <t>RUDRANI SENGUPTA</t>
  </si>
  <si>
    <t>EDVIRON_EASEBUZZ</t>
  </si>
  <si>
    <t>30/11/2025, 2:29:11 pm</t>
  </si>
  <si>
    <t>SMED0000000337</t>
  </si>
  <si>
    <t>692c075f09edb37dee1521c4</t>
  </si>
  <si>
    <t>VASUDHA ALOK</t>
  </si>
  <si>
    <t>1/12/2025, 1:41:08 PM</t>
  </si>
  <si>
    <t>SMED0000000339</t>
  </si>
  <si>
    <t>692d4d9c4b29e4e74d7d73d4</t>
  </si>
  <si>
    <t>-</t>
  </si>
  <si>
    <t>SHRITI SHARMA</t>
  </si>
  <si>
    <t>2/12/2025, 9:46:41 AM</t>
  </si>
  <si>
    <t>SMED0000000346</t>
  </si>
  <si>
    <t>692e6829520e62e5c16bbb56</t>
  </si>
  <si>
    <t>SUBHASMITA SANYAL</t>
  </si>
  <si>
    <t>2/12/2025, 2:06:21 PM</t>
  </si>
  <si>
    <t>SMED0000000349</t>
  </si>
  <si>
    <t>692ea505520e62e5c16e09b6</t>
  </si>
  <si>
    <t>PRAANAVI PURKAYASTHA</t>
  </si>
  <si>
    <t>3/12/2025, 10:46:31 AM</t>
  </si>
  <si>
    <t>SMED0000000352</t>
  </si>
  <si>
    <t>692fc7af0dd7d8c4549949d0</t>
  </si>
  <si>
    <t>MAHIRA SHARMA</t>
  </si>
  <si>
    <t>3/12/2025, 10:21:18 PM</t>
  </si>
  <si>
    <t>SMED0000000354</t>
  </si>
  <si>
    <t>69306a86fd4e190db77fe493</t>
  </si>
  <si>
    <t>AANUSAH REZA</t>
  </si>
  <si>
    <t>5/12/2025, 12:07:17 PM</t>
  </si>
  <si>
    <t>SMED0000000362</t>
  </si>
  <si>
    <t>69327d9d3ba018b7e9e5aca0</t>
  </si>
  <si>
    <t>DIVISHA BANERJEE</t>
  </si>
  <si>
    <t>6/12/2025, 7:49:59 AM</t>
  </si>
  <si>
    <t>SMED0000000366</t>
  </si>
  <si>
    <t>693392cfef53c64bd04b097e</t>
  </si>
  <si>
    <t>WRIDDHIMA SANTRA</t>
  </si>
  <si>
    <t>6/12/2025, 1:22:07 PM</t>
  </si>
  <si>
    <t>SMED0000000369</t>
  </si>
  <si>
    <t>6933e0a7ef53c64bd04d3ecb</t>
  </si>
  <si>
    <t>TRIPA AGARWAL</t>
  </si>
  <si>
    <t>7/12/2025, 11:55:56 AM</t>
  </si>
  <si>
    <t>SMED0000000372</t>
  </si>
  <si>
    <t>69351df4ef53c64bd052086e</t>
  </si>
  <si>
    <t>KAVYA MAHTO</t>
  </si>
  <si>
    <t>7/12/2025, 1:29:35 PM</t>
  </si>
  <si>
    <t>SMED0000000373</t>
  </si>
  <si>
    <t>693533e7ef53c64bd0525adc</t>
  </si>
  <si>
    <t>YUVIKA AGARWAL</t>
  </si>
  <si>
    <t>8/12/2025, 7:38:40 AM</t>
  </si>
  <si>
    <t>SMED0000000375</t>
  </si>
  <si>
    <t>69363328ef53c64bd05736b9</t>
  </si>
  <si>
    <t>FRIYA AGARWAL</t>
  </si>
  <si>
    <t>8/12/2025, 9:08:54 AM</t>
  </si>
  <si>
    <t>SMED0000000377</t>
  </si>
  <si>
    <t>6936484eef53c64bd05830eb</t>
  </si>
  <si>
    <t>SHANAYA CHIRANIA</t>
  </si>
  <si>
    <t>8/12/2025, 12:28:54 PM</t>
  </si>
  <si>
    <t>SMED0000000380</t>
  </si>
  <si>
    <t>6936772e10c404549b6eb695</t>
  </si>
  <si>
    <t>ISHANVI PRADHAN</t>
  </si>
  <si>
    <t>9/12/2025, 12:46:20 PM</t>
  </si>
  <si>
    <t>SMED0000000381</t>
  </si>
  <si>
    <t>6937ccc4fab6ff5b0ed38339</t>
  </si>
  <si>
    <t>13/12/2025, 10:23:18 am</t>
  </si>
  <si>
    <t>SMED0000000391</t>
  </si>
  <si>
    <t>693cf13e7dc8450efa2e354d</t>
  </si>
  <si>
    <t>success</t>
  </si>
  <si>
    <t>SANBI HALDER</t>
  </si>
  <si>
    <t>13/12/2025, 11:07:16 am</t>
  </si>
  <si>
    <t>SMED0000000395</t>
  </si>
  <si>
    <t>693cfb8c7dc8450efa2e6e60</t>
  </si>
  <si>
    <t>KHUSI ROY</t>
  </si>
  <si>
    <t>15/12/2025, 2:08:52 pm</t>
  </si>
  <si>
    <t>SMED0000000396</t>
  </si>
  <si>
    <t>693fc91c7fde54e8f0f752ed</t>
  </si>
  <si>
    <t>ALIZA KHAN</t>
  </si>
  <si>
    <t>19/12/2025, 2:48:47 pm</t>
  </si>
  <si>
    <t>SMED0000000400</t>
  </si>
  <si>
    <t>69451877cded364e3f821dbc</t>
  </si>
  <si>
    <t>ANU PRIYA</t>
  </si>
  <si>
    <t>19/12/2025, 3:36:26 pm</t>
  </si>
  <si>
    <t>SMED0000000402</t>
  </si>
  <si>
    <t>694523a2cded364e3f8240d1</t>
  </si>
  <si>
    <t>TRISIKHA DEBNATH</t>
  </si>
  <si>
    <t>19/12/2025, 6:19:15 pm</t>
  </si>
  <si>
    <t>SMED0000000403</t>
  </si>
  <si>
    <t>694549cbcded364e3f82cee1</t>
  </si>
  <si>
    <t>AADYA GUPTA</t>
  </si>
  <si>
    <t>26/12/2025, 1:28:01 pm</t>
  </si>
  <si>
    <t>SMED0000000406</t>
  </si>
  <si>
    <t>694e40094a6460a709bf8467</t>
  </si>
  <si>
    <t>GITASHRI MAHATO</t>
  </si>
  <si>
    <t>1/1/2026, 12:15:40 PM</t>
  </si>
  <si>
    <t>SMED0000000415</t>
  </si>
  <si>
    <t>6956181407081d7fb6ab744a</t>
  </si>
  <si>
    <t>SONAL KEDIA</t>
  </si>
  <si>
    <t>16/1/2026, 12:56:58 pm</t>
  </si>
  <si>
    <t>SMED0000000439</t>
  </si>
  <si>
    <t>6969e84235a8e67a2c342c09</t>
  </si>
  <si>
    <t>BIDITA SARKAR</t>
  </si>
  <si>
    <t>21/1/2026, 9:17:14 pm</t>
  </si>
  <si>
    <t>SMED0000000453</t>
  </si>
  <si>
    <t>6970f5028b01c1a52bceaea6</t>
  </si>
  <si>
    <t>TRISHA SAHA</t>
  </si>
  <si>
    <t>22/1/2026, 3:45:52 pm</t>
  </si>
  <si>
    <t>SMED0000000454</t>
  </si>
  <si>
    <t>6971f8d8595909a602bf52cc</t>
  </si>
  <si>
    <t>TONUSHREE SAHA</t>
  </si>
  <si>
    <t>29/1/2026, 9:34:31 pm</t>
  </si>
  <si>
    <t>SMED0000000460</t>
  </si>
  <si>
    <t>697b850f0a91fbff417eab30</t>
  </si>
  <si>
    <t>AADHYA DAS</t>
  </si>
  <si>
    <t>Sl.No</t>
  </si>
  <si>
    <t>Date</t>
  </si>
  <si>
    <t>Time</t>
  </si>
  <si>
    <t>Merchant Pricing INR</t>
  </si>
  <si>
    <t>Partner Pricing INR</t>
  </si>
  <si>
    <t>Edviron Buying INR</t>
  </si>
  <si>
    <t>ERP Revenue</t>
  </si>
  <si>
    <t>Edviron Net Revenue</t>
  </si>
  <si>
    <t>Edviron Gross Revenue</t>
  </si>
  <si>
    <t>Gateway Fee</t>
  </si>
  <si>
    <t>Amount Payable to ERP</t>
  </si>
  <si>
    <t>Amount Retained by Edviron</t>
  </si>
  <si>
    <t xml:space="preserve"> 12:31:47 PM</t>
  </si>
  <si>
    <t xml:space="preserve"> 11:51:49 AM</t>
  </si>
  <si>
    <t xml:space="preserve"> 10:31:19 am</t>
  </si>
  <si>
    <t xml:space="preserve"> 11:10:54 am</t>
  </si>
  <si>
    <t xml:space="preserve"> 11:14:19 am</t>
  </si>
  <si>
    <t xml:space="preserve"> 1:53:35 pm</t>
  </si>
  <si>
    <t xml:space="preserve"> 2:03:25 pm</t>
  </si>
  <si>
    <t xml:space="preserve"> 11:24:42 am</t>
  </si>
  <si>
    <t xml:space="preserve"> 4:08:10 PM</t>
  </si>
  <si>
    <t xml:space="preserve"> 10:46:26 am</t>
  </si>
  <si>
    <t xml:space="preserve"> 2:29:11 pm</t>
  </si>
  <si>
    <t xml:space="preserve"> 1:41:08 PM</t>
  </si>
  <si>
    <t xml:space="preserve"> 9:46:41 AM</t>
  </si>
  <si>
    <t xml:space="preserve"> 2:06:21 PM</t>
  </si>
  <si>
    <t xml:space="preserve"> 10:46:31 AM</t>
  </si>
  <si>
    <t xml:space="preserve"> 10:21:18 PM</t>
  </si>
  <si>
    <t xml:space="preserve"> 12:07:17 PM</t>
  </si>
  <si>
    <t xml:space="preserve"> 7:49:59 AM</t>
  </si>
  <si>
    <t xml:space="preserve"> 1:22:07 PM</t>
  </si>
  <si>
    <t xml:space="preserve"> 11:55:56 AM</t>
  </si>
  <si>
    <t xml:space="preserve"> 1:29:35 PM</t>
  </si>
  <si>
    <t xml:space="preserve"> 7:38:40 AM</t>
  </si>
  <si>
    <t xml:space="preserve"> 9:08:54 AM</t>
  </si>
  <si>
    <t xml:space="preserve"> 12:28:54 PM</t>
  </si>
  <si>
    <t xml:space="preserve"> 12:46:20 PM</t>
  </si>
  <si>
    <t xml:space="preserve"> 10:23:18 am</t>
  </si>
  <si>
    <t xml:space="preserve"> 11:07:16 am</t>
  </si>
  <si>
    <t xml:space="preserve"> 2:08:52 pm</t>
  </si>
  <si>
    <t xml:space="preserve"> 2:48:47 pm</t>
  </si>
  <si>
    <t xml:space="preserve"> 3:36:26 pm</t>
  </si>
  <si>
    <t xml:space="preserve"> 6:19:15 pm</t>
  </si>
  <si>
    <t xml:space="preserve"> 1:28:01 pm</t>
  </si>
  <si>
    <t xml:space="preserve"> 12:15:40 PM</t>
  </si>
  <si>
    <t xml:space="preserve"> 12:56:58 pm</t>
  </si>
  <si>
    <t xml:space="preserve"> 9:17:14 pm</t>
  </si>
  <si>
    <t xml:space="preserve"> 3:45:52 pm</t>
  </si>
  <si>
    <t xml:space="preserve"> 9:34:31 pm</t>
  </si>
  <si>
    <t>Count of Edviron order ID</t>
  </si>
  <si>
    <t>Sum of Transaction Amt</t>
  </si>
  <si>
    <t>Sum of ERP Revenue</t>
  </si>
  <si>
    <t>Sum of Edviron Net Revenue</t>
  </si>
  <si>
    <t>Sum of Edviron Gross Revenue</t>
  </si>
  <si>
    <t>(blank)</t>
  </si>
  <si>
    <t>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</si>
  <si>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</si>
  <si>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</si>
  <si>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</si>
  <si>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</si>
  <si>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</si>
  <si>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</si>
  <si>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</si>
  <si>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</si>
  <si>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</si>
  <si>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</si>
  <si>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</si>
  <si>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</si>
  <si>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</si>
  <si>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</si>
  <si>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</si>
  <si>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</si>
  <si>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</si>
  <si>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</si>
  <si>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</si>
  <si>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2-Feb</t>
  </si>
  <si>
    <t>2-Mar</t>
  </si>
  <si>
    <t>1-Apr</t>
  </si>
  <si>
    <t>2-Apr</t>
  </si>
  <si>
    <t>1-May</t>
  </si>
  <si>
    <t>2-May</t>
  </si>
  <si>
    <t>1-Jun</t>
  </si>
  <si>
    <t>2-Jun</t>
  </si>
  <si>
    <t>1-Jul</t>
  </si>
  <si>
    <t>2-Jul</t>
  </si>
  <si>
    <t>1-Aug</t>
  </si>
  <si>
    <t>2-Aug</t>
  </si>
  <si>
    <t>1-Sep</t>
  </si>
  <si>
    <t>2-Sep</t>
  </si>
  <si>
    <t>1-Oct</t>
  </si>
  <si>
    <t>1-Nov</t>
  </si>
  <si>
    <t>1-Dec</t>
  </si>
  <si>
    <t>Grand Total</t>
  </si>
  <si>
    <t>Average take rate</t>
  </si>
  <si>
    <t>Success Rate</t>
  </si>
  <si>
    <t>Sum of Amount Payable to ERP</t>
  </si>
  <si>
    <t>Start Date</t>
  </si>
  <si>
    <t>Revenue Split</t>
  </si>
  <si>
    <t>End Date</t>
  </si>
  <si>
    <t>Type</t>
  </si>
  <si>
    <t>Value</t>
  </si>
  <si>
    <t>Selected ERP</t>
  </si>
  <si>
    <t>ERP</t>
  </si>
  <si>
    <t>Selected Gateway</t>
  </si>
  <si>
    <t>Edviron</t>
  </si>
  <si>
    <t>Selected Payment Method</t>
  </si>
  <si>
    <t>Total Transactions</t>
  </si>
  <si>
    <t>Total GMV</t>
  </si>
  <si>
    <t>Pending Exposure</t>
  </si>
  <si>
    <t>Unique Users</t>
  </si>
  <si>
    <t>Payment Frequency</t>
  </si>
  <si>
    <t xml:space="preserve">Gateway-wise contribution
</t>
  </si>
  <si>
    <t>Time-based trend (Daily / Monthly)</t>
  </si>
  <si>
    <t xml:space="preserve">Total Transactions
</t>
  </si>
  <si>
    <t>Frequency</t>
  </si>
  <si>
    <t>Explanation</t>
  </si>
  <si>
    <t>Interactive Revenue Dashboard</t>
  </si>
  <si>
    <t>1. Revenue Logic Explanation</t>
  </si>
  <si>
    <t>2. Assumptions Made</t>
  </si>
  <si>
    <t>3. Dashboard Design Rationale</t>
  </si>
  <si>
    <t>4. Dynamic Behaviour</t>
  </si>
  <si>
    <t>Conclusion</t>
  </si>
  <si>
    <t>The dashboard is built using a structured data flow:</t>
  </si>
  <si>
    <t>Only "SUCCESS" transactions contribute to revenue and GMV.</t>
  </si>
  <si>
    <t>The dashboard is designed for clarity, decision-making, and executive readability.</t>
  </si>
  <si>
    <t>All KPIs use modelling sheet formulas (COUNTIFS, SUMIFS).</t>
  </si>
  <si>
    <t>This interactive dashboard provides a structured view of:</t>
  </si>
  <si>
    <t>All charts are linked to pivot tables based on tbl_transactions.</t>
  </si>
  <si>
    <t>Raw Data (tbl_transactions) → Modelling Sheet → Dashboard</t>
  </si>
  <si>
    <t>"PENDING" transactions contribute to exposure but not revenue.</t>
  </si>
  <si>
    <t>A. Layout Structure</t>
  </si>
  <si>
    <t>Slicers are connected to all pivot tables using Report Connections.</t>
  </si>
  <si>
    <t>• Revenue performance</t>
  </si>
  <si>
    <t>• Partner contribution</t>
  </si>
  <si>
    <t>A. Total Transactions</t>
  </si>
  <si>
    <t>Commission percentages remain constant during selected date range.</t>
  </si>
  <si>
    <t>Top Section:</t>
  </si>
  <si>
    <t>This ensures:</t>
  </si>
  <si>
    <t>• Gateway impact</t>
  </si>
  <si>
    <t>• User behavior</t>
  </si>
  <si>
    <t>Calculated using:</t>
  </si>
  <si>
    <t>Gateway charges are applied per transaction consistently.</t>
  </si>
  <si>
    <t>Date range selector</t>
  </si>
  <si>
    <t>Any filter change updates entire dashboard automatically.</t>
  </si>
  <si>
    <t>• Financial exposure</t>
  </si>
  <si>
    <t>COUNTIFS formula based on:</t>
  </si>
  <si>
    <t>Each User ID represents a unique customer.</t>
  </si>
  <si>
    <t>ERP filter</t>
  </si>
  <si>
    <t>No manual data adjustments required.</t>
  </si>
  <si>
    <t>The model is fully dynamic, scalable, and suitable for performance evaluation and management reporting.</t>
  </si>
  <si>
    <t>Date range (Start Date &amp; End Date)</t>
  </si>
  <si>
    <t>No duplicate transactions exist in cleaned dataset.</t>
  </si>
  <si>
    <t>Gateway filter</t>
  </si>
  <si>
    <t>Dashboard reflects real-time filtered insights.</t>
  </si>
  <si>
    <t>Selected ERP (Institute Name)</t>
  </si>
  <si>
    <t>Date grouping for trends is based on transaction date.</t>
  </si>
  <si>
    <t>Payment method filter</t>
  </si>
  <si>
    <t>This allows dynamic slicing of data.</t>
  </si>
  <si>
    <t>Second Section:</t>
  </si>
  <si>
    <t>Status = "SUCCESS"</t>
  </si>
  <si>
    <t>KPI Tiles</t>
  </si>
  <si>
    <t>This ensures only valid successful transactions are included.</t>
  </si>
  <si>
    <t>Displays high-level metrics for quick review.</t>
  </si>
  <si>
    <t>B. Total GMV (Gross Merchandise Value)</t>
  </si>
  <si>
    <t>Middle Section:</t>
  </si>
  <si>
    <t>SUMIFS on Transaction Amount column.</t>
  </si>
  <si>
    <t>Revenue Split (Donut Chart)</t>
  </si>
  <si>
    <t>→ Shows distribution between ERP and Edviron.</t>
  </si>
  <si>
    <t>Filters applied:</t>
  </si>
  <si>
    <t>Time Trend (Line Chart)</t>
  </si>
  <si>
    <t>Date range</t>
  </si>
  <si>
    <t>→ Identifies seasonal patterns and growth.</t>
  </si>
  <si>
    <t>ERP selection</t>
  </si>
  <si>
    <t>Bottom Section:</t>
  </si>
  <si>
    <t>Gateway Contribution (Column Chart)</t>
  </si>
  <si>
    <t>→ Shows which gateway drives most volume.</t>
  </si>
  <si>
    <t>Payment Method Mix (Pie Chart)</t>
  </si>
  <si>
    <t>→ Displays customer payment preference.</t>
  </si>
  <si>
    <t>GMV represents the total payment volume processed.</t>
  </si>
  <si>
    <t>B. Design Principles Used</t>
  </si>
  <si>
    <t>C. ERP Revenue</t>
  </si>
  <si>
    <t>• Clean layout (no gridlines)</t>
  </si>
  <si>
    <t>• Consistent color theme</t>
  </si>
  <si>
    <t>Calculated based on agreed ERP revenue percentage applied to successful transaction amount.</t>
  </si>
  <si>
    <t>• Currency formatted in ₹</t>
  </si>
  <si>
    <t>• Proper spacing between elements</t>
  </si>
  <si>
    <t>Formula Logic:</t>
  </si>
  <si>
    <t>• No manual filtering</t>
  </si>
  <si>
    <t>ERP Revenue = Transaction Amount × ERP Revenue %</t>
  </si>
  <si>
    <t>• Fully dynamic using formulas and pivot connections</t>
  </si>
  <si>
    <t>Only filtered successful transactions are considered.</t>
  </si>
  <si>
    <t>D. Edviron Gross Revenue</t>
  </si>
  <si>
    <t>Calculated as:</t>
  </si>
  <si>
    <t>Transaction Amount × Edviron Commission %</t>
  </si>
  <si>
    <t>This represents total revenue earned before deductions.</t>
  </si>
  <si>
    <t>E. Edviron Net Revenue</t>
  </si>
  <si>
    <t>Edviron Gross Revenue – Gateway Charges – Any Applicable Costs</t>
  </si>
  <si>
    <t>This shows actual earnings retained after expenses.</t>
  </si>
  <si>
    <t>F. Pending Exposure</t>
  </si>
  <si>
    <t>Calculated by summing transactions where:</t>
  </si>
  <si>
    <t>Status = "PENDING"</t>
  </si>
  <si>
    <t>This helps identify revenue at risk or awaiting settlement.</t>
  </si>
  <si>
    <t>G. Unique Users</t>
  </si>
  <si>
    <t>COUNT of distinct User IDs within filtered dataset.</t>
  </si>
  <si>
    <t>This measures customer base size.</t>
  </si>
  <si>
    <t>H. Frequency of Payment (Same User)</t>
  </si>
  <si>
    <t>Total Transactions / Unique Users</t>
  </si>
  <si>
    <t>This indicates average repeat usage per customer.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</si>
</sst>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000%"/>
    <numFmt numFmtId="179" formatCode="d\/m\/yyyy"/>
    <numFmt numFmtId="180" formatCode="dd\/mm\/yyyy"/>
    <numFmt numFmtId="181" formatCode="0;[Red]0"/>
  </numFmts>
  <fonts count="31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9"/>
      <color theme="1"/>
      <name val="Calibri"/>
      <charset val="134"/>
    </font>
    <font>
      <b/>
      <sz val="9"/>
      <color theme="1"/>
      <name val="Calibri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b/>
      <u/>
      <sz val="10"/>
      <color rgb="FF1155C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7" applyNumberFormat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2" borderId="7" xfId="0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10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13" xfId="0" applyFont="1" applyBorder="1" applyAlignment="1">
      <alignment horizontal="center" vertical="center" wrapText="1" readingOrder="1"/>
    </xf>
    <xf numFmtId="0" fontId="6" fillId="0" borderId="13" xfId="0" applyNumberFormat="1" applyFont="1" applyBorder="1" applyAlignment="1">
      <alignment horizontal="right" vertical="center" wrapText="1" readingOrder="1"/>
    </xf>
    <xf numFmtId="0" fontId="6" fillId="0" borderId="13" xfId="0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right" vertical="center" wrapText="1" readingOrder="1"/>
    </xf>
    <xf numFmtId="179" fontId="6" fillId="0" borderId="13" xfId="0" applyNumberFormat="1" applyFont="1" applyBorder="1" applyAlignment="1">
      <alignment horizontal="right" vertical="center" wrapText="1" readingOrder="1"/>
    </xf>
    <xf numFmtId="180" fontId="6" fillId="0" borderId="13" xfId="0" applyNumberFormat="1" applyFont="1" applyBorder="1" applyAlignment="1">
      <alignment horizontal="right" vertical="center" wrapText="1" readingOrder="1"/>
    </xf>
    <xf numFmtId="2" fontId="7" fillId="0" borderId="13" xfId="0" applyNumberFormat="1" applyFont="1" applyBorder="1" applyAlignment="1">
      <alignment horizontal="center" vertical="center" wrapText="1" readingOrder="1"/>
    </xf>
    <xf numFmtId="181" fontId="6" fillId="0" borderId="13" xfId="0" applyNumberFormat="1" applyFont="1" applyBorder="1" applyAlignment="1">
      <alignment horizontal="center" vertical="center" wrapText="1" readingOrder="1"/>
    </xf>
    <xf numFmtId="0" fontId="6" fillId="0" borderId="13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/>
    </xf>
    <xf numFmtId="181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8" fillId="0" borderId="13" xfId="0" applyFont="1" applyBorder="1" applyAlignment="1">
      <alignment horizontal="center" vertical="center" wrapText="1" readingOrder="1"/>
    </xf>
    <xf numFmtId="0" fontId="9" fillId="0" borderId="13" xfId="0" applyFont="1" applyBorder="1" applyAlignment="1">
      <alignment horizontal="center" vertical="center" wrapText="1" readingOrder="1"/>
    </xf>
    <xf numFmtId="0" fontId="10" fillId="0" borderId="13" xfId="0" applyFont="1" applyBorder="1" applyAlignment="1">
      <alignment horizontal="center" vertical="center" wrapText="1" readingOrder="1"/>
    </xf>
    <xf numFmtId="2" fontId="8" fillId="0" borderId="13" xfId="0" applyNumberFormat="1" applyFont="1" applyBorder="1" applyAlignment="1">
      <alignment horizontal="center" vertical="center" wrapText="1" readingOrder="1"/>
    </xf>
    <xf numFmtId="181" fontId="9" fillId="0" borderId="13" xfId="0" applyNumberFormat="1" applyFont="1" applyBorder="1" applyAlignment="1">
      <alignment horizontal="center" vertical="center" wrapText="1" readingOrder="1"/>
    </xf>
    <xf numFmtId="0" fontId="9" fillId="0" borderId="13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2" fontId="9" fillId="0" borderId="13" xfId="0" applyNumberFormat="1" applyFont="1" applyBorder="1" applyAlignment="1">
      <alignment horizontal="center" vertical="center" wrapText="1" readingOrder="1"/>
    </xf>
    <xf numFmtId="0" fontId="11" fillId="0" borderId="13" xfId="0" applyFont="1" applyBorder="1" applyAlignment="1">
      <alignment wrapText="1" readingOrder="1"/>
    </xf>
    <xf numFmtId="0" fontId="8" fillId="0" borderId="13" xfId="0" applyFont="1" applyBorder="1" applyAlignment="1">
      <alignment wrapText="1" readingOrder="1"/>
    </xf>
    <xf numFmtId="0" fontId="9" fillId="0" borderId="13" xfId="0" applyFont="1" applyBorder="1" applyAlignment="1">
      <alignment horizontal="right" wrapText="1" readingOrder="1"/>
    </xf>
    <xf numFmtId="0" fontId="9" fillId="0" borderId="13" xfId="0" applyFont="1" applyBorder="1" applyAlignment="1">
      <alignment wrapText="1" readingOrder="1"/>
    </xf>
    <xf numFmtId="0" fontId="10" fillId="0" borderId="13" xfId="0" applyFont="1" applyBorder="1" applyAlignment="1">
      <alignment horizontal="right" wrapText="1" readingOrder="1"/>
    </xf>
    <xf numFmtId="0" fontId="10" fillId="0" borderId="13" xfId="0" applyFont="1" applyBorder="1" applyAlignment="1">
      <alignment wrapText="1" readingOrder="1"/>
    </xf>
    <xf numFmtId="0" fontId="9" fillId="0" borderId="13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4"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right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0" formatCode="General"/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numFmt numFmtId="181" formatCode="0;[Red]0"/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numFmt numFmtId="0" formatCode="General"/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sz val="9"/>
      </font>
      <alignment horizontal="center" vertical="center" wrapText="1" readingOrder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</font>
      <numFmt numFmtId="0" formatCode="General"/>
      <alignment horizontal="center"/>
    </dxf>
    <dxf>
      <font>
        <name val="Calibri"/>
        <scheme val="none"/>
      </font>
      <numFmt numFmtId="0" formatCode="General"/>
      <alignment horizontal="center"/>
    </dxf>
    <dxf>
      <font>
        <name val="Calibri"/>
        <scheme val="none"/>
      </font>
      <numFmt numFmtId="0" formatCode="General"/>
      <alignment horizontal="center"/>
    </dxf>
    <dxf>
      <font>
        <name val="Calibri"/>
        <scheme val="none"/>
      </font>
      <numFmt numFmtId="0" formatCode="General"/>
      <alignment horizontal="center"/>
    </dxf>
    <dxf>
      <font>
        <name val="Calibri"/>
        <scheme val="none"/>
      </font>
      <numFmt numFmtId="0" formatCode="General"/>
      <alignment horizontal="center"/>
    </dxf>
    <dxf>
      <font>
        <name val="Calibri"/>
        <scheme val="none"/>
      </font>
      <numFmt numFmtId="0" formatCode="General"/>
      <alignment horizontal="center"/>
    </dxf>
    <dxf>
      <numFmt numFmtId="181" formatCode="0;[Red]0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wrapText="1"/>
    </dxf>
    <dxf>
      <alignment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firstRowStripe" dxfId="38"/>
      <tableStyleElement type="firstColumnStripe" dxfId="37"/>
    </tableStyle>
    <tableStyle name="PivotStylePreset2_Accent1" table="0" count="10" xr9:uid="{267968C8-6FFD-4C36-ACC1-9EA1FD1885CA}">
      <tableStyleElement type="headerRow" dxfId="53"/>
      <tableStyleElement type="totalRow" dxfId="52"/>
      <tableStyleElement type="firstRowStripe" dxfId="51"/>
      <tableStyleElement type="firstColumnStripe" dxfId="50"/>
      <tableStyleElement type="firstSubtotalRow" dxfId="49"/>
      <tableStyleElement type="secondSubtotalRow" dxfId="48"/>
      <tableStyleElement type="firstRowSubheading" dxfId="47"/>
      <tableStyleElement type="secondRowSubheading" dxfId="46"/>
      <tableStyleElement type="pageFieldLabels" dxfId="45"/>
      <tableStyleElement type="pageFieldValues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eetMetadata" Target="metadata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microsoft.com/office/2007/relationships/slicerCache" Target="slicerCaches/slicerCache4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Split</a:t>
            </a:r>
          </a:p>
        </c:rich>
      </c:tx>
      <c:layout>
        <c:manualLayout>
          <c:xMode val="edge"/>
          <c:yMode val="edge"/>
          <c:x val="0.0376499793131982"/>
          <c:y val="0.46633941093969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5533833301401"/>
          <c:y val="0.143802504980452"/>
          <c:w val="0.339815197903737"/>
          <c:h val="0.863955119214586"/>
        </c:manualLayout>
      </c:layout>
      <c:doughnutChart>
        <c:varyColors val="1"/>
        <c:ser>
          <c:idx val="0"/>
          <c:order val="0"/>
          <c:tx>
            <c:strRef>
              <c:f>Modeling!$K$3</c:f>
              <c:strCache>
                <c:ptCount val="1"/>
                <c:pt idx="0">
                  <c:v>Value</c:v>
                </c:pt>
              </c:strCache>
            </c:strRef>
          </c:tx>
          <c:spPr>
            <a:noFill/>
            <a:ln w="19050" cap="flat" cmpd="sng" algn="ctr">
              <a:solidFill>
                <a:schemeClr val="accent1"/>
              </a:solidFill>
              <a:prstDash val="solid"/>
              <a:miter lim="800000"/>
            </a:ln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explosion val="0"/>
          <c:dPt>
            <c:idx val="0"/>
            <c:bubble3D val="0"/>
            <c:spPr>
              <a:noFill/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</c:dPt>
          <c:dPt>
            <c:idx val="1"/>
            <c:bubble3D val="0"/>
            <c:spPr>
              <a:solidFill>
                <a:schemeClr val="accent4">
                  <a:lumMod val="20000"/>
                  <a:lumOff val="80000"/>
                  <a:alpha val="94000"/>
                </a:schemeClr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  <a:sp3d contourW="12700">
                <a:extrusionClr>
                  <a:srgbClr val="FFFFFF"/>
                </a:extrusionClr>
                <a:contourClr>
                  <a:srgbClr val="FFFFFF"/>
                </a:contourClr>
              </a:sp3d>
            </c:spPr>
          </c:dPt>
          <c:dLbls>
            <c:delete val="1"/>
          </c:dLbls>
          <c:cat>
            <c:strRef>
              <c:f>Modeling!$J$4:$J$5</c:f>
              <c:strCache>
                <c:ptCount val="2"/>
                <c:pt idx="0">
                  <c:v>ERP</c:v>
                </c:pt>
                <c:pt idx="1">
                  <c:v>Edviron</c:v>
                </c:pt>
              </c:strCache>
            </c:strRef>
          </c:cat>
          <c:val>
            <c:numRef>
              <c:f>Modeling!$K$4:$K$5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36657012825817"/>
          <c:y val="0.44600280504908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495caf-cf70-4c89-921d-27f8be25a10e}"/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[Edviron.xlsx]Dashboard!PivotTable10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Dashboard!$J$4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Dashboard!$I$5:$I$42</c:f>
              <c:strCache>
                <c:ptCount val="37"/>
                <c:pt idx="0">
                  <c:v>2-Jan</c:v>
                </c:pt>
                <c:pt idx="1">
                  <c:v>13-Jan</c:v>
                </c:pt>
                <c:pt idx="2">
                  <c:v>14-Jan</c:v>
                </c:pt>
                <c:pt idx="3">
                  <c:v>15-Jan</c:v>
                </c:pt>
                <c:pt idx="4">
                  <c:v>16-Jan</c:v>
                </c:pt>
                <c:pt idx="5">
                  <c:v>17-Jan</c:v>
                </c:pt>
                <c:pt idx="6">
                  <c:v>18-Jan</c:v>
                </c:pt>
                <c:pt idx="7">
                  <c:v>19-Jan</c:v>
                </c:pt>
                <c:pt idx="8">
                  <c:v>20-Jan</c:v>
                </c:pt>
                <c:pt idx="9">
                  <c:v>21-Jan</c:v>
                </c:pt>
                <c:pt idx="10">
                  <c:v>22-Jan</c:v>
                </c:pt>
                <c:pt idx="11">
                  <c:v>23-Jan</c:v>
                </c:pt>
                <c:pt idx="12">
                  <c:v>24-Jan</c:v>
                </c:pt>
                <c:pt idx="13">
                  <c:v>25-Jan</c:v>
                </c:pt>
                <c:pt idx="14">
                  <c:v>26-Jan</c:v>
                </c:pt>
                <c:pt idx="15">
                  <c:v>27-Jan</c:v>
                </c:pt>
                <c:pt idx="16">
                  <c:v>28-Jan</c:v>
                </c:pt>
                <c:pt idx="17">
                  <c:v>29-Jan</c:v>
                </c:pt>
                <c:pt idx="18">
                  <c:v>30-Jan</c:v>
                </c:pt>
                <c:pt idx="19">
                  <c:v>31-Jan</c:v>
                </c:pt>
                <c:pt idx="20">
                  <c:v>2-Feb</c:v>
                </c:pt>
                <c:pt idx="21">
                  <c:v>2-Mar</c:v>
                </c:pt>
                <c:pt idx="22">
                  <c:v>1-Apr</c:v>
                </c:pt>
                <c:pt idx="23">
                  <c:v>2-Apr</c:v>
                </c:pt>
                <c:pt idx="24">
                  <c:v>1-May</c:v>
                </c:pt>
                <c:pt idx="25">
                  <c:v>2-May</c:v>
                </c:pt>
                <c:pt idx="26">
                  <c:v>1-Jun</c:v>
                </c:pt>
                <c:pt idx="27">
                  <c:v>2-Jun</c:v>
                </c:pt>
                <c:pt idx="28">
                  <c:v>1-Jul</c:v>
                </c:pt>
                <c:pt idx="29">
                  <c:v>2-Jul</c:v>
                </c:pt>
                <c:pt idx="30">
                  <c:v>1-Aug</c:v>
                </c:pt>
                <c:pt idx="31">
                  <c:v>2-Aug</c:v>
                </c:pt>
                <c:pt idx="32">
                  <c:v>1-Sep</c:v>
                </c:pt>
                <c:pt idx="33">
                  <c:v>2-Sep</c:v>
                </c:pt>
                <c:pt idx="34">
                  <c:v>1-Oct</c:v>
                </c:pt>
                <c:pt idx="35">
                  <c:v>1-Nov</c:v>
                </c:pt>
                <c:pt idx="36">
                  <c:v>1-Dec</c:v>
                </c:pt>
              </c:strCache>
            </c:strRef>
          </c:cat>
          <c:val>
            <c:numRef>
              <c:f>Dashboard!$J$5:$J$42</c:f>
              <c:numCache>
                <c:formatCode>General</c:formatCode>
                <c:ptCount val="3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5887474"/>
        <c:axId val="331558070"/>
      </c:lineChart>
      <c:catAx>
        <c:axId val="7758874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1558070"/>
        <c:crosses val="autoZero"/>
        <c:auto val="1"/>
        <c:lblAlgn val="ctr"/>
        <c:lblOffset val="100"/>
        <c:noMultiLvlLbl val="0"/>
      </c:catAx>
      <c:valAx>
        <c:axId val="3315580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58874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ecd541-6ad0-4ec1-be07-b9ae2c979537}"/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[Edviron.xlsx]Dashboard!PivotTable11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Gateway</a:t>
            </a:r>
          </a:p>
        </c:rich>
      </c:tx>
      <c:layout>
        <c:manualLayout>
          <c:xMode val="edge"/>
          <c:yMode val="edge"/>
          <c:x val="0.437779433681073"/>
          <c:y val="0.1422987152217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Dashboard!$D$4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Dashboard!$C$5:$C$7</c:f>
              <c:strCache>
                <c:ptCount val="2"/>
                <c:pt idx="0">
                  <c:v>CASHFREE</c:v>
                </c:pt>
                <c:pt idx="1">
                  <c:v>EDVIRON_EASEBUZZ</c:v>
                </c:pt>
              </c:strCache>
            </c:strRef>
          </c:cat>
          <c:val>
            <c:numRef>
              <c:f>Dashboard!$D$5:$D$7</c:f>
              <c:numCache>
                <c:formatCode>General</c:formatCode>
                <c:ptCount val="2"/>
                <c:pt idx="0">
                  <c:v>78234.24</c:v>
                </c:pt>
                <c:pt idx="1">
                  <c:v>814241.08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100"/>
        <c:axId val="352867901"/>
        <c:axId val="867589241"/>
      </c:barChart>
      <c:catAx>
        <c:axId val="3528679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7589241"/>
        <c:crosses val="autoZero"/>
        <c:auto val="1"/>
        <c:lblAlgn val="ctr"/>
        <c:lblOffset val="100"/>
        <c:noMultiLvlLbl val="0"/>
      </c:catAx>
      <c:valAx>
        <c:axId val="8675892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86790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5d3712e-874c-499d-afb3-2017149dd49d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[Edviron.xlsx]Dashboard!PivotTable12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Transaction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Dashboard!$C$10:$C$11</c:f>
              <c:strCache>
                <c:ptCount val="1"/>
                <c:pt idx="0">
                  <c:v>upi</c:v>
                </c:pt>
              </c:strCache>
            </c:strRef>
          </c:cat>
          <c:val>
            <c:numRef>
              <c:f>Dashboard!$D$10:$D$11</c:f>
              <c:numCache>
                <c:formatCode>General</c:formatCode>
                <c:ptCount val="1"/>
                <c:pt idx="0">
                  <c:v>892475.32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e369b2-c4e2-4411-9f15-69e66e9cb25a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[Edviron.xlsx]Dashboard!PivotTable15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Dashboard!$F$5:$F$8</c:f>
              <c:strCache>
                <c:ptCount val="3"/>
                <c:pt idx="0">
                  <c:v>R P College of Pharmacy</c:v>
                </c:pt>
                <c:pt idx="1">
                  <c:v>SBNM College of Pharmacy (D. Pharmacy &amp; B.Pharmarcy</c:v>
                </c:pt>
                <c:pt idx="2">
                  <c:v>ST MICHAEL'S SCHOOL FOR GIRLS</c:v>
                </c:pt>
              </c:strCache>
            </c:strRef>
          </c:cat>
          <c:val>
            <c:numRef>
              <c:f>Dashboard!$G$5:$G$8</c:f>
              <c:numCache>
                <c:formatCode>General</c:formatCode>
                <c:ptCount val="3"/>
                <c:pt idx="0">
                  <c:v>74431.88</c:v>
                </c:pt>
                <c:pt idx="1">
                  <c:v>3802.36</c:v>
                </c:pt>
                <c:pt idx="2">
                  <c:v>814241.08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147193"/>
        <c:axId val="519527430"/>
      </c:barChart>
      <c:catAx>
        <c:axId val="9431471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527430"/>
        <c:crosses val="autoZero"/>
        <c:auto val="1"/>
        <c:lblAlgn val="ctr"/>
        <c:lblOffset val="100"/>
        <c:noMultiLvlLbl val="0"/>
      </c:catAx>
      <c:valAx>
        <c:axId val="5195274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31471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6c7956-e252-4c39-be9f-b9cd7eb377f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[Edviron.xlsx]Dashboard!PivotTable15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Dashboard!$F$5:$F$8</c:f>
              <c:strCache>
                <c:ptCount val="3"/>
                <c:pt idx="0">
                  <c:v>R P College of Pharmacy</c:v>
                </c:pt>
                <c:pt idx="1">
                  <c:v>SBNM College of Pharmacy (D. Pharmacy &amp; B.Pharmarcy</c:v>
                </c:pt>
                <c:pt idx="2">
                  <c:v>ST MICHAEL'S SCHOOL FOR GIRLS</c:v>
                </c:pt>
              </c:strCache>
            </c:strRef>
          </c:cat>
          <c:val>
            <c:numRef>
              <c:f>Dashboard!$G$5:$G$8</c:f>
              <c:numCache>
                <c:formatCode>General</c:formatCode>
                <c:ptCount val="3"/>
                <c:pt idx="0">
                  <c:v>74431.88</c:v>
                </c:pt>
                <c:pt idx="1">
                  <c:v>3802.36</c:v>
                </c:pt>
                <c:pt idx="2">
                  <c:v>814241.08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102755559"/>
        <c:axId val="38593304"/>
      </c:barChart>
      <c:catAx>
        <c:axId val="10275555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93304"/>
        <c:crossesAt val="20000"/>
        <c:auto val="1"/>
        <c:lblAlgn val="ctr"/>
        <c:lblOffset val="100"/>
        <c:noMultiLvlLbl val="0"/>
      </c:catAx>
      <c:valAx>
        <c:axId val="38593304"/>
        <c:scaling>
          <c:orientation val="minMax"/>
          <c:max val="1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755559"/>
        <c:crosses val="autoZero"/>
        <c:crossBetween val="between"/>
        <c:majorUnit val="1000000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05fed7-2719-4518-9863-48b88d9def2e}"/>
      </c:ext>
    </c:extLst>
  </c:chart>
  <c:spPr>
    <a:solidFill>
      <a:schemeClr val="accent4">
        <a:lumMod val="40000"/>
        <a:lumOff val="60000"/>
        <a:alpha val="62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421640</xdr:colOff>
      <xdr:row>8</xdr:row>
      <xdr:rowOff>109220</xdr:rowOff>
    </xdr:from>
    <xdr:to>
      <xdr:col>7</xdr:col>
      <xdr:colOff>16510</xdr:colOff>
      <xdr:row>20</xdr:row>
      <xdr:rowOff>120650</xdr:rowOff>
    </xdr:to>
    <xdr:graphicFrame>
      <xdr:nvGraphicFramePr>
        <xdr:cNvPr id="2" name="Chart 1"/>
        <xdr:cNvGraphicFramePr/>
      </xdr:nvGraphicFramePr>
      <xdr:xfrm>
        <a:off x="7706360" y="1836420"/>
        <a:ext cx="4784090" cy="2371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8890</xdr:colOff>
      <xdr:row>33</xdr:row>
      <xdr:rowOff>99060</xdr:rowOff>
    </xdr:from>
    <xdr:to>
      <xdr:col>3</xdr:col>
      <xdr:colOff>1273810</xdr:colOff>
      <xdr:row>45</xdr:row>
      <xdr:rowOff>16510</xdr:rowOff>
    </xdr:to>
    <xdr:graphicFrame>
      <xdr:nvGraphicFramePr>
        <xdr:cNvPr id="3" name="Chart 2"/>
        <xdr:cNvGraphicFramePr/>
      </xdr:nvGraphicFramePr>
      <xdr:xfrm>
        <a:off x="8890" y="6563360"/>
        <a:ext cx="5966460" cy="2112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21</xdr:row>
      <xdr:rowOff>52070</xdr:rowOff>
    </xdr:from>
    <xdr:to>
      <xdr:col>3</xdr:col>
      <xdr:colOff>1275080</xdr:colOff>
      <xdr:row>33</xdr:row>
      <xdr:rowOff>5080</xdr:rowOff>
    </xdr:to>
    <xdr:graphicFrame>
      <xdr:nvGraphicFramePr>
        <xdr:cNvPr id="4" name="Chart 3"/>
        <xdr:cNvGraphicFramePr/>
      </xdr:nvGraphicFramePr>
      <xdr:xfrm>
        <a:off x="7620" y="4321810"/>
        <a:ext cx="5969000" cy="2147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1354455</xdr:colOff>
      <xdr:row>21</xdr:row>
      <xdr:rowOff>45720</xdr:rowOff>
    </xdr:from>
    <xdr:to>
      <xdr:col>7</xdr:col>
      <xdr:colOff>43815</xdr:colOff>
      <xdr:row>33</xdr:row>
      <xdr:rowOff>10160</xdr:rowOff>
    </xdr:to>
    <xdr:graphicFrame>
      <xdr:nvGraphicFramePr>
        <xdr:cNvPr id="5" name="Chart 4"/>
        <xdr:cNvGraphicFramePr/>
      </xdr:nvGraphicFramePr>
      <xdr:xfrm>
        <a:off x="6055995" y="4315460"/>
        <a:ext cx="6461760" cy="215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541020</xdr:colOff>
      <xdr:row>5</xdr:row>
      <xdr:rowOff>190500</xdr:rowOff>
    </xdr:from>
    <xdr:to>
      <xdr:col>36</xdr:col>
      <xdr:colOff>490220</xdr:colOff>
      <xdr:row>19</xdr:row>
      <xdr:rowOff>129540</xdr:rowOff>
    </xdr:to>
    <xdr:graphicFrame>
      <xdr:nvGraphicFramePr>
        <xdr:cNvPr id="6" name="Chart 5"/>
        <xdr:cNvGraphicFramePr/>
      </xdr:nvGraphicFramePr>
      <xdr:xfrm>
        <a:off x="32773620" y="1270000"/>
        <a:ext cx="4826000" cy="276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36830</xdr:colOff>
      <xdr:row>13</xdr:row>
      <xdr:rowOff>84455</xdr:rowOff>
    </xdr:from>
    <xdr:to>
      <xdr:col>1</xdr:col>
      <xdr:colOff>1065530</xdr:colOff>
      <xdr:row>20</xdr:row>
      <xdr:rowOff>108585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Institute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stitut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30" y="2891155"/>
              <a:ext cx="1828800" cy="1304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859155</xdr:colOff>
      <xdr:row>11</xdr:row>
      <xdr:rowOff>38735</xdr:rowOff>
    </xdr:from>
    <xdr:to>
      <xdr:col>5</xdr:col>
      <xdr:colOff>325120</xdr:colOff>
      <xdr:row>20</xdr:row>
      <xdr:rowOff>48895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60695" y="2413635"/>
              <a:ext cx="2049145" cy="1722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923290</xdr:colOff>
      <xdr:row>11</xdr:row>
      <xdr:rowOff>66675</xdr:rowOff>
    </xdr:from>
    <xdr:to>
      <xdr:col>3</xdr:col>
      <xdr:colOff>807085</xdr:colOff>
      <xdr:row>20</xdr:row>
      <xdr:rowOff>100330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Payment 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4110" y="2441575"/>
              <a:ext cx="1834515" cy="1745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1109345</xdr:colOff>
      <xdr:row>13</xdr:row>
      <xdr:rowOff>80645</xdr:rowOff>
    </xdr:from>
    <xdr:to>
      <xdr:col>2</xdr:col>
      <xdr:colOff>873125</xdr:colOff>
      <xdr:row>20</xdr:row>
      <xdr:rowOff>99695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Gatewa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atew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9445" y="2887345"/>
              <a:ext cx="1714500" cy="1299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1367790</xdr:colOff>
      <xdr:row>33</xdr:row>
      <xdr:rowOff>123190</xdr:rowOff>
    </xdr:from>
    <xdr:to>
      <xdr:col>7</xdr:col>
      <xdr:colOff>33655</xdr:colOff>
      <xdr:row>45</xdr:row>
      <xdr:rowOff>41275</xdr:rowOff>
    </xdr:to>
    <xdr:graphicFrame>
      <xdr:nvGraphicFramePr>
        <xdr:cNvPr id="11" name="Chart 10"/>
        <xdr:cNvGraphicFramePr/>
      </xdr:nvGraphicFramePr>
      <xdr:xfrm>
        <a:off x="6069330" y="6587490"/>
        <a:ext cx="6438265" cy="2112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4.7776851852" refreshedBy="abc" recordCount="38">
  <cacheSource type="worksheet">
    <worksheetSource ref="A1:AE1048576" sheet="tbl_transactions"/>
  </cacheSource>
  <cacheFields count="31">
    <cacheField name="Sl.No" numFmtId="0">
      <sharedItems containsString="0" containsBlank="1" containsNumber="1" containsInteger="1" minValue="0" maxValue="37" count="3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m/>
      </sharedItems>
    </cacheField>
    <cacheField name="Institute Name" numFmtId="0">
      <sharedItems containsBlank="1" count="4">
        <s v="SBNM College of Pharmacy (D. Pharmacy &amp; B.Pharmarcy"/>
        <s v="R P College of Pharmacy"/>
        <s v="ST MICHAEL'S SCHOOL FOR GIRLS"/>
        <m/>
      </sharedItems>
    </cacheField>
    <cacheField name="Date &amp; Time" numFmtId="0">
      <sharedItems containsBlank="1" count="38">
        <s v="1/4/2025, 12:31:47 PM"/>
        <s v="11/4/2025, 11:51:49 AM"/>
        <s v="21/4/2025, 10:31:19 am"/>
        <s v="29/4/2025, 11:10:54 am"/>
        <s v="29/4/2025, 11:14:19 am"/>
        <s v="30/4/2025, 1:53:35 pm"/>
        <s v="30/4/2025, 2:03:25 pm"/>
        <s v="14/6/2025, 11:24:42 am"/>
        <s v="7/7/2025, 4:08:10 PM"/>
        <s v="14/11/2025, 10:46:26 am"/>
        <s v="30/11/2025, 2:29:11 pm"/>
        <s v="1/12/2025, 1:41:08 PM"/>
        <s v="2/12/2025, 9:46:41 AM"/>
        <s v="2/12/2025, 2:06:21 PM"/>
        <s v="3/12/2025, 10:46:31 AM"/>
        <s v="3/12/2025, 10:21:18 PM"/>
        <s v="5/12/2025, 12:07:17 PM"/>
        <s v="6/12/2025, 7:49:59 AM"/>
        <s v="6/12/2025, 1:22:07 PM"/>
        <s v="7/12/2025, 11:55:56 AM"/>
        <s v="7/12/2025, 1:29:35 PM"/>
        <s v="8/12/2025, 7:38:40 AM"/>
        <s v="8/12/2025, 9:08:54 AM"/>
        <s v="8/12/2025, 12:28:54 PM"/>
        <s v="9/12/2025, 12:46:20 PM"/>
        <s v="13/12/2025, 10:23:18 am"/>
        <s v="13/12/2025, 11:07:16 am"/>
        <s v="15/12/2025, 2:08:52 pm"/>
        <s v="19/12/2025, 2:48:47 pm"/>
        <s v="19/12/2025, 3:36:26 pm"/>
        <s v="19/12/2025, 6:19:15 pm"/>
        <s v="26/12/2025, 1:28:01 pm"/>
        <s v="1/1/2026, 12:15:40 PM"/>
        <s v="16/1/2026, 12:56:58 pm"/>
        <s v="21/1/2026, 9:17:14 pm"/>
        <s v="22/1/2026, 3:45:52 pm"/>
        <s v="29/1/2026, 9:34:31 pm"/>
        <m/>
      </sharedItems>
    </cacheField>
    <cacheField name="Date" numFmtId="0">
      <sharedItems containsString="0" containsBlank="1" containsNonDate="0" containsDate="1" minDate="2025-01-02T00:00:00" maxDate="2025-12-01T00:00:00" count="38"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09-02T00:00:00"/>
        <m/>
      </sharedItems>
      <fieldGroup base="3">
        <rangePr autoEnd="0" groupBy="days" startDate="2025-01-02T00:00:00" endDate="2025-12-31T00:00:00" groupInterval="1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5-12-31"/>
        </groupItems>
      </fieldGroup>
    </cacheField>
    <cacheField name="Time" numFmtId="0">
      <sharedItems containsBlank="1" count="38">
        <s v=" 12:31:47 PM"/>
        <s v=" 11:51:49 AM"/>
        <s v=" 10:31:19 am"/>
        <s v=" 11:10:54 am"/>
        <s v=" 11:14:19 am"/>
        <s v=" 1:53:35 pm"/>
        <s v=" 2:03:25 pm"/>
        <s v=" 11:24:42 am"/>
        <s v=" 4:08:10 PM"/>
        <s v=" 10:46:26 am"/>
        <s v=" 2:29:11 pm"/>
        <s v=" 1:41:08 PM"/>
        <s v=" 9:46:41 AM"/>
        <s v=" 2:06:21 PM"/>
        <s v=" 10:46:31 AM"/>
        <s v=" 10:21:18 PM"/>
        <s v=" 12:07:17 PM"/>
        <s v=" 7:49:59 AM"/>
        <s v=" 1:22:07 PM"/>
        <s v=" 11:55:56 AM"/>
        <s v=" 1:29:35 PM"/>
        <s v=" 7:38:40 AM"/>
        <s v=" 9:08:54 AM"/>
        <s v=" 12:28:54 PM"/>
        <s v=" 12:46:20 PM"/>
        <s v=" 10:23:18 am"/>
        <s v=" 11:07:16 am"/>
        <s v=" 2:08:52 pm"/>
        <s v=" 2:48:47 pm"/>
        <s v=" 3:36:26 pm"/>
        <s v=" 6:19:15 pm"/>
        <s v=" 1:28:01 pm"/>
        <s v=" 12:15:40 PM"/>
        <s v=" 12:56:58 pm"/>
        <s v=" 9:17:14 pm"/>
        <s v=" 3:45:52 pm"/>
        <s v=" 9:34:31 pm"/>
        <m/>
      </sharedItems>
    </cacheField>
    <cacheField name="Edviron order ID" numFmtId="0">
      <sharedItems containsBlank="1" count="38">
        <s v="67eb8f5ba0b8c5db0650bf9c"/>
        <s v="67f8b4fdb7b5f003daf0968e"/>
        <s v="6805d11f8218d3a8c0364231"/>
        <s v="681066668dde280c7a057a3a"/>
        <s v="68106733d4b7fd07d305e50a"/>
        <s v="6811de07d4b7fd07d306cb37"/>
        <s v="6811e055d4b7fd07d306ceed"/>
        <s v="684d0ea2b1091c01feb8de58"/>
        <s v="686ba3924e76b124b7acdd57"/>
        <s v="6916bb2afede88bc173e1480"/>
        <s v="692c075f09edb37dee1521c4"/>
        <s v="692d4d9c4b29e4e74d7d73d4"/>
        <s v="692e6829520e62e5c16bbb56"/>
        <s v="692ea505520e62e5c16e09b6"/>
        <s v="692fc7af0dd7d8c4549949d0"/>
        <s v="69306a86fd4e190db77fe493"/>
        <s v="69327d9d3ba018b7e9e5aca0"/>
        <s v="693392cfef53c64bd04b097e"/>
        <s v="6933e0a7ef53c64bd04d3ecb"/>
        <s v="69351df4ef53c64bd052086e"/>
        <s v="693533e7ef53c64bd0525adc"/>
        <s v="69363328ef53c64bd05736b9"/>
        <s v="6936484eef53c64bd05830eb"/>
        <s v="6936772e10c404549b6eb695"/>
        <s v="6937ccc4fab6ff5b0ed38339"/>
        <s v="693cf13e7dc8450efa2e354d"/>
        <s v="693cfb8c7dc8450efa2e6e60"/>
        <s v="693fc91c7fde54e8f0f752ed"/>
        <s v="69451877cded364e3f821dbc"/>
        <s v="694523a2cded364e3f8240d1"/>
        <s v="694549cbcded364e3f82cee1"/>
        <s v="694e40094a6460a709bf8467"/>
        <s v="6956181407081d7fb6ab744a"/>
        <s v="6969e84235a8e67a2c342c09"/>
        <s v="6970f5028b01c1a52bceaea6"/>
        <s v="6971f8d8595909a602bf52cc"/>
        <s v="697b850f0a91fbff417eab30"/>
        <m/>
      </sharedItems>
    </cacheField>
    <cacheField name="Order Amt" numFmtId="0">
      <sharedItems containsString="0" containsBlank="1" containsNumber="1" containsInteger="1" minValue="0" maxValue="74150" count="16">
        <n v="3800"/>
        <n v="15000"/>
        <n v="10000"/>
        <n v="5000"/>
        <n v="18836"/>
        <n v="10576"/>
        <n v="1"/>
        <n v="34325"/>
        <n v="38100"/>
        <n v="10350"/>
        <n v="10950"/>
        <n v="74150"/>
        <n v="72450"/>
        <n v="36100"/>
        <n v="72150"/>
        <m/>
      </sharedItems>
    </cacheField>
    <cacheField name="Transaction Amt" numFmtId="0">
      <sharedItems containsString="0" containsBlank="1" containsNumber="1" minValue="0" maxValue="74152.36" count="16">
        <n v="3802.36"/>
        <n v="15002.36"/>
        <n v="10002.36"/>
        <n v="5002.36"/>
        <n v="18838.36"/>
        <n v="10578.36"/>
        <n v="3.36"/>
        <n v="34327.36"/>
        <n v="38102.36"/>
        <n v="10352.36"/>
        <n v="10952.36"/>
        <n v="74152.36"/>
        <n v="72452.36"/>
        <n v="36102.36"/>
        <n v="72152.36"/>
        <m/>
      </sharedItems>
    </cacheField>
    <cacheField name="Payment Method" numFmtId="0">
      <sharedItems containsBlank="1" count="2">
        <s v="upi"/>
        <m/>
      </sharedItems>
    </cacheField>
    <cacheField name="payment_mode" numFmtId="0">
      <sharedItems containsBlank="1" count="4">
        <s v="UPI"/>
        <s v="Others"/>
        <s v="-"/>
        <m/>
      </sharedItems>
    </cacheField>
    <cacheField name="Status" numFmtId="0">
      <sharedItems containsBlank="1" count="2">
        <s v="SUCCESS"/>
        <m/>
      </sharedItems>
    </cacheField>
    <cacheField name="Student Name" numFmtId="0">
      <sharedItems containsBlank="1" count="37">
        <s v="RushikeshPatil"/>
        <s v="Pranav Prakash Deshpande"/>
        <s v="Dattatray Uttam Gholve"/>
        <s v="Saniya Wajid Shaikh"/>
        <s v="Pooja subhashprasad shukla"/>
        <s v="BEGADE HALIMA BADSHAHA"/>
        <s v="JADHAV GAURAV SANTOSH"/>
        <s v="SOHAM SAGAR KHOT"/>
        <s v="Test Student"/>
        <s v="RUDRANI SENGUPTA"/>
        <s v="VASUDHA ALOK"/>
        <s v="SHRITI SHARMA"/>
        <s v="SUBHASMITA SANYAL"/>
        <s v="PRAANAVI PURKAYASTHA"/>
        <s v="MAHIRA SHARMA"/>
        <s v="AANUSAH REZA"/>
        <s v="DIVISHA BANERJEE"/>
        <s v="WRIDDHIMA SANTRA"/>
        <s v="TRIPA AGARWAL"/>
        <s v="KAVYA MAHTO"/>
        <s v="YUVIKA AGARWAL"/>
        <s v="FRIYA AGARWAL"/>
        <s v="SHANAYA CHIRANIA"/>
        <s v="ISHANVI PRADHAN"/>
        <s v="SANBI HALDER"/>
        <s v="KHUSI ROY"/>
        <s v="ALIZA KHAN"/>
        <s v="ANU PRIYA"/>
        <s v="TRISIKHA DEBNATH"/>
        <s v="AADYA GUPTA"/>
        <s v="GITASHRI MAHATO"/>
        <s v="SONAL KEDIA"/>
        <s v="BIDITA SARKAR"/>
        <s v="TRISHA SAHA"/>
        <s v="TONUSHREE SAHA"/>
        <s v="AADHYA DAS"/>
        <m/>
      </sharedItems>
    </cacheField>
    <cacheField name="Phone No." numFmtId="0">
      <sharedItems containsString="0" containsBlank="1" containsNonDate="0" count="1">
        <m/>
      </sharedItems>
    </cacheField>
    <cacheField name="Vendor Amount" numFmtId="0">
      <sharedItems containsString="0" containsBlank="1" containsNumber="1" containsInteger="1" minValue="0" maxValue="0" count="2">
        <n v="0"/>
        <m/>
      </sharedItems>
    </cacheField>
    <cacheField name="Gateway" numFmtId="0">
      <sharedItems containsBlank="1" count="3">
        <s v="CASHFREE"/>
        <s v="EDVIRON_EASEBUZZ"/>
        <m/>
      </sharedItems>
    </cacheField>
    <cacheField name="Capture Status" numFmtId="0">
      <sharedItems containsBlank="1" count="2">
        <s v="SUCCESS"/>
        <m/>
      </sharedItems>
    </cacheField>
    <cacheField name="Merchant Pricing" numFmtId="0">
      <sharedItems containsString="0" containsBlank="1" containsNumber="1" containsInteger="1" minValue="0" maxValue="2" count="2">
        <n v="2"/>
        <m/>
      </sharedItems>
    </cacheField>
    <cacheField name="Merchant Pricing Type" numFmtId="0">
      <sharedItems containsBlank="1" count="2">
        <s v="FLAT"/>
        <m/>
      </sharedItems>
    </cacheField>
    <cacheField name="Partner Pricing" numFmtId="0">
      <sharedItems containsString="0" containsBlank="1" containsNumber="1" containsInteger="1" minValue="0" maxValue="2" count="2">
        <n v="2"/>
        <m/>
      </sharedItems>
    </cacheField>
    <cacheField name="Partner Pricing Type" numFmtId="0">
      <sharedItems containsBlank="1" count="2">
        <s v="FLAT"/>
        <m/>
      </sharedItems>
    </cacheField>
    <cacheField name="Edviron Buying" numFmtId="0">
      <sharedItems containsString="0" containsBlank="1" containsNumber="1" containsInteger="1" minValue="0" maxValue="0" count="2">
        <n v="0"/>
        <m/>
      </sharedItems>
    </cacheField>
    <cacheField name="Edviron Buying type" numFmtId="0">
      <sharedItems containsBlank="1" count="2">
        <s v="FLAT"/>
        <m/>
      </sharedItems>
    </cacheField>
    <cacheField name="Merchant Pricing INR" numFmtId="0">
      <sharedItems containsString="0" containsBlank="1" containsNumber="1" containsInteger="1" minValue="0" maxValue="2" count="2">
        <n v="2"/>
        <m/>
      </sharedItems>
    </cacheField>
    <cacheField name="Partner Pricing INR" numFmtId="0">
      <sharedItems containsString="0" containsBlank="1" containsNumber="1" containsInteger="1" minValue="0" maxValue="2" count="2">
        <n v="2"/>
        <m/>
      </sharedItems>
    </cacheField>
    <cacheField name="Edviron Buying INR" numFmtId="0">
      <sharedItems containsString="0" containsBlank="1" containsNumber="1" containsInteger="1" minValue="0" maxValue="0" count="2">
        <n v="0"/>
        <m/>
      </sharedItems>
    </cacheField>
    <cacheField name="ERP Revenue" numFmtId="0">
      <sharedItems containsString="0" containsBlank="1" containsNumber="1" containsInteger="1" minValue="0" maxValue="0" count="2">
        <n v="0"/>
        <m/>
      </sharedItems>
    </cacheField>
    <cacheField name="Edviron Net Revenue" numFmtId="0">
      <sharedItems containsString="0" containsBlank="1" containsNumber="1" containsInteger="1" minValue="0" maxValue="2" count="2">
        <n v="2"/>
        <m/>
      </sharedItems>
    </cacheField>
    <cacheField name="Edviron Gross Revenue" numFmtId="0">
      <sharedItems containsString="0" containsBlank="1" containsNumber="1" containsInteger="1" minValue="0" maxValue="2" count="2">
        <n v="2"/>
        <m/>
      </sharedItems>
    </cacheField>
    <cacheField name="Gateway Fee" numFmtId="0">
      <sharedItems containsString="0" containsBlank="1" containsNumber="1" minValue="0" maxValue="74152.36" count="16">
        <n v="3802.36"/>
        <n v="15002.36"/>
        <n v="10002.36"/>
        <n v="5002.36"/>
        <n v="18838.36"/>
        <n v="10578.36"/>
        <n v="3.36"/>
        <n v="34327.36"/>
        <n v="38102.36"/>
        <n v="10352.36"/>
        <n v="10952.36"/>
        <n v="74152.36"/>
        <n v="72452.36"/>
        <n v="36102.36"/>
        <n v="72152.36"/>
        <m/>
      </sharedItems>
    </cacheField>
    <cacheField name="Amount Payable to ERP" numFmtId="0">
      <sharedItems containsString="0" containsBlank="1" containsNumber="1" containsInteger="1" minValue="0" maxValue="0" count="2">
        <n v="0"/>
        <m/>
      </sharedItems>
    </cacheField>
    <cacheField name="Amount Retained by Edviron" numFmtId="0">
      <sharedItems containsString="0" containsBlank="1" containsNumber="1" containsInteger="1" minValue="0" maxValue="2" count="2">
        <n v="2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2"/>
    <x v="1"/>
    <x v="2"/>
    <x v="2"/>
    <x v="2"/>
    <x v="2"/>
    <x v="2"/>
    <x v="2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</r>
  <r>
    <x v="3"/>
    <x v="1"/>
    <x v="3"/>
    <x v="3"/>
    <x v="3"/>
    <x v="3"/>
    <x v="3"/>
    <x v="3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</r>
  <r>
    <x v="4"/>
    <x v="1"/>
    <x v="4"/>
    <x v="4"/>
    <x v="4"/>
    <x v="4"/>
    <x v="3"/>
    <x v="3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</r>
  <r>
    <x v="5"/>
    <x v="1"/>
    <x v="5"/>
    <x v="5"/>
    <x v="5"/>
    <x v="5"/>
    <x v="2"/>
    <x v="2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</r>
  <r>
    <x v="6"/>
    <x v="1"/>
    <x v="6"/>
    <x v="6"/>
    <x v="6"/>
    <x v="6"/>
    <x v="4"/>
    <x v="4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</r>
  <r>
    <x v="7"/>
    <x v="1"/>
    <x v="7"/>
    <x v="7"/>
    <x v="7"/>
    <x v="7"/>
    <x v="5"/>
    <x v="5"/>
    <x v="0"/>
    <x v="1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</r>
  <r>
    <x v="8"/>
    <x v="1"/>
    <x v="8"/>
    <x v="8"/>
    <x v="8"/>
    <x v="8"/>
    <x v="6"/>
    <x v="6"/>
    <x v="0"/>
    <x v="1"/>
    <x v="0"/>
    <x v="8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9"/>
    <x v="2"/>
    <x v="9"/>
    <x v="9"/>
    <x v="9"/>
    <x v="9"/>
    <x v="7"/>
    <x v="7"/>
    <x v="0"/>
    <x v="1"/>
    <x v="0"/>
    <x v="9"/>
    <x v="0"/>
    <x v="0"/>
    <x v="1"/>
    <x v="0"/>
    <x v="0"/>
    <x v="0"/>
    <x v="0"/>
    <x v="0"/>
    <x v="0"/>
    <x v="0"/>
    <x v="0"/>
    <x v="0"/>
    <x v="0"/>
    <x v="0"/>
    <x v="0"/>
    <x v="0"/>
    <x v="7"/>
    <x v="0"/>
    <x v="0"/>
  </r>
  <r>
    <x v="10"/>
    <x v="2"/>
    <x v="10"/>
    <x v="10"/>
    <x v="10"/>
    <x v="10"/>
    <x v="8"/>
    <x v="8"/>
    <x v="0"/>
    <x v="1"/>
    <x v="0"/>
    <x v="10"/>
    <x v="0"/>
    <x v="0"/>
    <x v="1"/>
    <x v="0"/>
    <x v="0"/>
    <x v="0"/>
    <x v="0"/>
    <x v="0"/>
    <x v="0"/>
    <x v="0"/>
    <x v="0"/>
    <x v="0"/>
    <x v="0"/>
    <x v="0"/>
    <x v="0"/>
    <x v="0"/>
    <x v="8"/>
    <x v="0"/>
    <x v="0"/>
  </r>
  <r>
    <x v="11"/>
    <x v="2"/>
    <x v="11"/>
    <x v="11"/>
    <x v="11"/>
    <x v="11"/>
    <x v="9"/>
    <x v="9"/>
    <x v="0"/>
    <x v="2"/>
    <x v="0"/>
    <x v="11"/>
    <x v="0"/>
    <x v="0"/>
    <x v="1"/>
    <x v="0"/>
    <x v="0"/>
    <x v="0"/>
    <x v="0"/>
    <x v="0"/>
    <x v="0"/>
    <x v="0"/>
    <x v="0"/>
    <x v="0"/>
    <x v="0"/>
    <x v="0"/>
    <x v="0"/>
    <x v="0"/>
    <x v="9"/>
    <x v="0"/>
    <x v="0"/>
  </r>
  <r>
    <x v="12"/>
    <x v="2"/>
    <x v="12"/>
    <x v="12"/>
    <x v="12"/>
    <x v="12"/>
    <x v="10"/>
    <x v="10"/>
    <x v="0"/>
    <x v="1"/>
    <x v="0"/>
    <x v="12"/>
    <x v="0"/>
    <x v="0"/>
    <x v="1"/>
    <x v="0"/>
    <x v="0"/>
    <x v="0"/>
    <x v="0"/>
    <x v="0"/>
    <x v="0"/>
    <x v="0"/>
    <x v="0"/>
    <x v="0"/>
    <x v="0"/>
    <x v="0"/>
    <x v="0"/>
    <x v="0"/>
    <x v="10"/>
    <x v="0"/>
    <x v="0"/>
  </r>
  <r>
    <x v="13"/>
    <x v="2"/>
    <x v="13"/>
    <x v="13"/>
    <x v="13"/>
    <x v="13"/>
    <x v="9"/>
    <x v="9"/>
    <x v="0"/>
    <x v="1"/>
    <x v="0"/>
    <x v="13"/>
    <x v="0"/>
    <x v="0"/>
    <x v="1"/>
    <x v="0"/>
    <x v="0"/>
    <x v="0"/>
    <x v="0"/>
    <x v="0"/>
    <x v="0"/>
    <x v="0"/>
    <x v="0"/>
    <x v="0"/>
    <x v="0"/>
    <x v="0"/>
    <x v="0"/>
    <x v="0"/>
    <x v="9"/>
    <x v="0"/>
    <x v="0"/>
  </r>
  <r>
    <x v="14"/>
    <x v="2"/>
    <x v="14"/>
    <x v="14"/>
    <x v="14"/>
    <x v="14"/>
    <x v="10"/>
    <x v="10"/>
    <x v="0"/>
    <x v="2"/>
    <x v="0"/>
    <x v="14"/>
    <x v="0"/>
    <x v="0"/>
    <x v="1"/>
    <x v="0"/>
    <x v="0"/>
    <x v="0"/>
    <x v="0"/>
    <x v="0"/>
    <x v="0"/>
    <x v="0"/>
    <x v="0"/>
    <x v="0"/>
    <x v="0"/>
    <x v="0"/>
    <x v="0"/>
    <x v="0"/>
    <x v="10"/>
    <x v="0"/>
    <x v="0"/>
  </r>
  <r>
    <x v="15"/>
    <x v="2"/>
    <x v="15"/>
    <x v="15"/>
    <x v="15"/>
    <x v="15"/>
    <x v="11"/>
    <x v="11"/>
    <x v="0"/>
    <x v="1"/>
    <x v="0"/>
    <x v="15"/>
    <x v="0"/>
    <x v="0"/>
    <x v="1"/>
    <x v="0"/>
    <x v="0"/>
    <x v="0"/>
    <x v="0"/>
    <x v="0"/>
    <x v="0"/>
    <x v="0"/>
    <x v="0"/>
    <x v="0"/>
    <x v="0"/>
    <x v="0"/>
    <x v="0"/>
    <x v="0"/>
    <x v="11"/>
    <x v="0"/>
    <x v="0"/>
  </r>
  <r>
    <x v="16"/>
    <x v="2"/>
    <x v="16"/>
    <x v="16"/>
    <x v="16"/>
    <x v="16"/>
    <x v="9"/>
    <x v="9"/>
    <x v="0"/>
    <x v="2"/>
    <x v="0"/>
    <x v="16"/>
    <x v="0"/>
    <x v="0"/>
    <x v="1"/>
    <x v="0"/>
    <x v="0"/>
    <x v="0"/>
    <x v="0"/>
    <x v="0"/>
    <x v="0"/>
    <x v="0"/>
    <x v="0"/>
    <x v="0"/>
    <x v="0"/>
    <x v="0"/>
    <x v="0"/>
    <x v="0"/>
    <x v="9"/>
    <x v="0"/>
    <x v="0"/>
  </r>
  <r>
    <x v="17"/>
    <x v="2"/>
    <x v="17"/>
    <x v="17"/>
    <x v="17"/>
    <x v="17"/>
    <x v="9"/>
    <x v="9"/>
    <x v="0"/>
    <x v="1"/>
    <x v="0"/>
    <x v="17"/>
    <x v="0"/>
    <x v="0"/>
    <x v="1"/>
    <x v="0"/>
    <x v="0"/>
    <x v="0"/>
    <x v="0"/>
    <x v="0"/>
    <x v="0"/>
    <x v="0"/>
    <x v="0"/>
    <x v="0"/>
    <x v="0"/>
    <x v="0"/>
    <x v="0"/>
    <x v="0"/>
    <x v="9"/>
    <x v="0"/>
    <x v="0"/>
  </r>
  <r>
    <x v="18"/>
    <x v="2"/>
    <x v="18"/>
    <x v="18"/>
    <x v="18"/>
    <x v="18"/>
    <x v="7"/>
    <x v="7"/>
    <x v="0"/>
    <x v="2"/>
    <x v="0"/>
    <x v="18"/>
    <x v="0"/>
    <x v="0"/>
    <x v="1"/>
    <x v="0"/>
    <x v="0"/>
    <x v="0"/>
    <x v="0"/>
    <x v="0"/>
    <x v="0"/>
    <x v="0"/>
    <x v="0"/>
    <x v="0"/>
    <x v="0"/>
    <x v="0"/>
    <x v="0"/>
    <x v="0"/>
    <x v="7"/>
    <x v="0"/>
    <x v="0"/>
  </r>
  <r>
    <x v="19"/>
    <x v="2"/>
    <x v="19"/>
    <x v="19"/>
    <x v="19"/>
    <x v="19"/>
    <x v="10"/>
    <x v="10"/>
    <x v="0"/>
    <x v="1"/>
    <x v="0"/>
    <x v="19"/>
    <x v="0"/>
    <x v="0"/>
    <x v="1"/>
    <x v="0"/>
    <x v="0"/>
    <x v="0"/>
    <x v="0"/>
    <x v="0"/>
    <x v="0"/>
    <x v="0"/>
    <x v="0"/>
    <x v="0"/>
    <x v="0"/>
    <x v="0"/>
    <x v="0"/>
    <x v="0"/>
    <x v="10"/>
    <x v="0"/>
    <x v="0"/>
  </r>
  <r>
    <x v="20"/>
    <x v="2"/>
    <x v="20"/>
    <x v="20"/>
    <x v="20"/>
    <x v="20"/>
    <x v="9"/>
    <x v="9"/>
    <x v="0"/>
    <x v="2"/>
    <x v="0"/>
    <x v="20"/>
    <x v="0"/>
    <x v="0"/>
    <x v="1"/>
    <x v="0"/>
    <x v="0"/>
    <x v="0"/>
    <x v="0"/>
    <x v="0"/>
    <x v="0"/>
    <x v="0"/>
    <x v="0"/>
    <x v="0"/>
    <x v="0"/>
    <x v="0"/>
    <x v="0"/>
    <x v="0"/>
    <x v="9"/>
    <x v="0"/>
    <x v="0"/>
  </r>
  <r>
    <x v="21"/>
    <x v="2"/>
    <x v="21"/>
    <x v="21"/>
    <x v="21"/>
    <x v="21"/>
    <x v="7"/>
    <x v="7"/>
    <x v="0"/>
    <x v="2"/>
    <x v="0"/>
    <x v="21"/>
    <x v="0"/>
    <x v="0"/>
    <x v="1"/>
    <x v="0"/>
    <x v="0"/>
    <x v="0"/>
    <x v="0"/>
    <x v="0"/>
    <x v="0"/>
    <x v="0"/>
    <x v="0"/>
    <x v="0"/>
    <x v="0"/>
    <x v="0"/>
    <x v="0"/>
    <x v="0"/>
    <x v="7"/>
    <x v="0"/>
    <x v="0"/>
  </r>
  <r>
    <x v="22"/>
    <x v="2"/>
    <x v="22"/>
    <x v="22"/>
    <x v="22"/>
    <x v="22"/>
    <x v="10"/>
    <x v="10"/>
    <x v="0"/>
    <x v="2"/>
    <x v="0"/>
    <x v="22"/>
    <x v="0"/>
    <x v="0"/>
    <x v="1"/>
    <x v="0"/>
    <x v="0"/>
    <x v="0"/>
    <x v="0"/>
    <x v="0"/>
    <x v="0"/>
    <x v="0"/>
    <x v="0"/>
    <x v="0"/>
    <x v="0"/>
    <x v="0"/>
    <x v="0"/>
    <x v="0"/>
    <x v="10"/>
    <x v="0"/>
    <x v="0"/>
  </r>
  <r>
    <x v="23"/>
    <x v="2"/>
    <x v="23"/>
    <x v="23"/>
    <x v="23"/>
    <x v="23"/>
    <x v="7"/>
    <x v="7"/>
    <x v="0"/>
    <x v="1"/>
    <x v="0"/>
    <x v="23"/>
    <x v="0"/>
    <x v="0"/>
    <x v="1"/>
    <x v="0"/>
    <x v="0"/>
    <x v="0"/>
    <x v="0"/>
    <x v="0"/>
    <x v="0"/>
    <x v="0"/>
    <x v="0"/>
    <x v="0"/>
    <x v="0"/>
    <x v="0"/>
    <x v="0"/>
    <x v="0"/>
    <x v="7"/>
    <x v="0"/>
    <x v="0"/>
  </r>
  <r>
    <x v="24"/>
    <x v="2"/>
    <x v="24"/>
    <x v="24"/>
    <x v="24"/>
    <x v="24"/>
    <x v="7"/>
    <x v="7"/>
    <x v="0"/>
    <x v="2"/>
    <x v="0"/>
    <x v="9"/>
    <x v="0"/>
    <x v="0"/>
    <x v="1"/>
    <x v="0"/>
    <x v="0"/>
    <x v="0"/>
    <x v="0"/>
    <x v="0"/>
    <x v="0"/>
    <x v="0"/>
    <x v="0"/>
    <x v="0"/>
    <x v="0"/>
    <x v="0"/>
    <x v="0"/>
    <x v="0"/>
    <x v="7"/>
    <x v="0"/>
    <x v="0"/>
  </r>
  <r>
    <x v="25"/>
    <x v="2"/>
    <x v="25"/>
    <x v="25"/>
    <x v="25"/>
    <x v="25"/>
    <x v="9"/>
    <x v="9"/>
    <x v="0"/>
    <x v="1"/>
    <x v="0"/>
    <x v="24"/>
    <x v="0"/>
    <x v="0"/>
    <x v="1"/>
    <x v="0"/>
    <x v="0"/>
    <x v="0"/>
    <x v="0"/>
    <x v="0"/>
    <x v="0"/>
    <x v="0"/>
    <x v="0"/>
    <x v="0"/>
    <x v="0"/>
    <x v="0"/>
    <x v="0"/>
    <x v="0"/>
    <x v="9"/>
    <x v="0"/>
    <x v="0"/>
  </r>
  <r>
    <x v="26"/>
    <x v="2"/>
    <x v="26"/>
    <x v="26"/>
    <x v="26"/>
    <x v="26"/>
    <x v="7"/>
    <x v="7"/>
    <x v="0"/>
    <x v="1"/>
    <x v="0"/>
    <x v="25"/>
    <x v="0"/>
    <x v="0"/>
    <x v="1"/>
    <x v="0"/>
    <x v="0"/>
    <x v="0"/>
    <x v="0"/>
    <x v="0"/>
    <x v="0"/>
    <x v="0"/>
    <x v="0"/>
    <x v="0"/>
    <x v="0"/>
    <x v="0"/>
    <x v="0"/>
    <x v="0"/>
    <x v="7"/>
    <x v="0"/>
    <x v="0"/>
  </r>
  <r>
    <x v="27"/>
    <x v="2"/>
    <x v="27"/>
    <x v="27"/>
    <x v="27"/>
    <x v="27"/>
    <x v="10"/>
    <x v="10"/>
    <x v="0"/>
    <x v="1"/>
    <x v="0"/>
    <x v="26"/>
    <x v="0"/>
    <x v="0"/>
    <x v="1"/>
    <x v="0"/>
    <x v="0"/>
    <x v="0"/>
    <x v="0"/>
    <x v="0"/>
    <x v="0"/>
    <x v="0"/>
    <x v="0"/>
    <x v="0"/>
    <x v="0"/>
    <x v="0"/>
    <x v="0"/>
    <x v="0"/>
    <x v="10"/>
    <x v="0"/>
    <x v="0"/>
  </r>
  <r>
    <x v="28"/>
    <x v="2"/>
    <x v="28"/>
    <x v="28"/>
    <x v="28"/>
    <x v="28"/>
    <x v="7"/>
    <x v="7"/>
    <x v="0"/>
    <x v="1"/>
    <x v="0"/>
    <x v="27"/>
    <x v="0"/>
    <x v="0"/>
    <x v="1"/>
    <x v="0"/>
    <x v="0"/>
    <x v="0"/>
    <x v="0"/>
    <x v="0"/>
    <x v="0"/>
    <x v="0"/>
    <x v="0"/>
    <x v="0"/>
    <x v="0"/>
    <x v="0"/>
    <x v="0"/>
    <x v="0"/>
    <x v="7"/>
    <x v="0"/>
    <x v="0"/>
  </r>
  <r>
    <x v="29"/>
    <x v="2"/>
    <x v="29"/>
    <x v="29"/>
    <x v="29"/>
    <x v="29"/>
    <x v="12"/>
    <x v="12"/>
    <x v="0"/>
    <x v="1"/>
    <x v="0"/>
    <x v="28"/>
    <x v="0"/>
    <x v="0"/>
    <x v="1"/>
    <x v="0"/>
    <x v="0"/>
    <x v="0"/>
    <x v="0"/>
    <x v="0"/>
    <x v="0"/>
    <x v="0"/>
    <x v="0"/>
    <x v="0"/>
    <x v="0"/>
    <x v="0"/>
    <x v="0"/>
    <x v="0"/>
    <x v="12"/>
    <x v="0"/>
    <x v="0"/>
  </r>
  <r>
    <x v="30"/>
    <x v="2"/>
    <x v="30"/>
    <x v="30"/>
    <x v="30"/>
    <x v="30"/>
    <x v="11"/>
    <x v="11"/>
    <x v="0"/>
    <x v="1"/>
    <x v="0"/>
    <x v="29"/>
    <x v="0"/>
    <x v="0"/>
    <x v="1"/>
    <x v="0"/>
    <x v="0"/>
    <x v="0"/>
    <x v="0"/>
    <x v="0"/>
    <x v="0"/>
    <x v="0"/>
    <x v="0"/>
    <x v="0"/>
    <x v="0"/>
    <x v="0"/>
    <x v="0"/>
    <x v="0"/>
    <x v="11"/>
    <x v="0"/>
    <x v="0"/>
  </r>
  <r>
    <x v="31"/>
    <x v="2"/>
    <x v="31"/>
    <x v="31"/>
    <x v="31"/>
    <x v="31"/>
    <x v="13"/>
    <x v="13"/>
    <x v="0"/>
    <x v="1"/>
    <x v="0"/>
    <x v="30"/>
    <x v="0"/>
    <x v="0"/>
    <x v="1"/>
    <x v="0"/>
    <x v="0"/>
    <x v="0"/>
    <x v="0"/>
    <x v="0"/>
    <x v="0"/>
    <x v="0"/>
    <x v="0"/>
    <x v="0"/>
    <x v="0"/>
    <x v="0"/>
    <x v="0"/>
    <x v="0"/>
    <x v="13"/>
    <x v="0"/>
    <x v="0"/>
  </r>
  <r>
    <x v="32"/>
    <x v="2"/>
    <x v="32"/>
    <x v="32"/>
    <x v="32"/>
    <x v="32"/>
    <x v="14"/>
    <x v="14"/>
    <x v="0"/>
    <x v="1"/>
    <x v="0"/>
    <x v="31"/>
    <x v="0"/>
    <x v="0"/>
    <x v="1"/>
    <x v="0"/>
    <x v="0"/>
    <x v="0"/>
    <x v="0"/>
    <x v="0"/>
    <x v="0"/>
    <x v="0"/>
    <x v="0"/>
    <x v="0"/>
    <x v="0"/>
    <x v="0"/>
    <x v="0"/>
    <x v="0"/>
    <x v="14"/>
    <x v="0"/>
    <x v="0"/>
  </r>
  <r>
    <x v="33"/>
    <x v="2"/>
    <x v="33"/>
    <x v="33"/>
    <x v="33"/>
    <x v="33"/>
    <x v="10"/>
    <x v="10"/>
    <x v="0"/>
    <x v="1"/>
    <x v="0"/>
    <x v="32"/>
    <x v="0"/>
    <x v="0"/>
    <x v="1"/>
    <x v="0"/>
    <x v="0"/>
    <x v="0"/>
    <x v="0"/>
    <x v="0"/>
    <x v="0"/>
    <x v="0"/>
    <x v="0"/>
    <x v="0"/>
    <x v="0"/>
    <x v="0"/>
    <x v="0"/>
    <x v="0"/>
    <x v="10"/>
    <x v="0"/>
    <x v="0"/>
  </r>
  <r>
    <x v="34"/>
    <x v="2"/>
    <x v="34"/>
    <x v="34"/>
    <x v="34"/>
    <x v="34"/>
    <x v="9"/>
    <x v="9"/>
    <x v="0"/>
    <x v="1"/>
    <x v="0"/>
    <x v="33"/>
    <x v="0"/>
    <x v="0"/>
    <x v="1"/>
    <x v="0"/>
    <x v="0"/>
    <x v="0"/>
    <x v="0"/>
    <x v="0"/>
    <x v="0"/>
    <x v="0"/>
    <x v="0"/>
    <x v="0"/>
    <x v="0"/>
    <x v="0"/>
    <x v="0"/>
    <x v="0"/>
    <x v="9"/>
    <x v="0"/>
    <x v="0"/>
  </r>
  <r>
    <x v="35"/>
    <x v="2"/>
    <x v="35"/>
    <x v="35"/>
    <x v="35"/>
    <x v="35"/>
    <x v="7"/>
    <x v="7"/>
    <x v="0"/>
    <x v="1"/>
    <x v="0"/>
    <x v="34"/>
    <x v="0"/>
    <x v="0"/>
    <x v="1"/>
    <x v="0"/>
    <x v="0"/>
    <x v="0"/>
    <x v="0"/>
    <x v="0"/>
    <x v="0"/>
    <x v="0"/>
    <x v="0"/>
    <x v="0"/>
    <x v="0"/>
    <x v="0"/>
    <x v="0"/>
    <x v="0"/>
    <x v="7"/>
    <x v="0"/>
    <x v="0"/>
  </r>
  <r>
    <x v="36"/>
    <x v="2"/>
    <x v="36"/>
    <x v="36"/>
    <x v="36"/>
    <x v="36"/>
    <x v="7"/>
    <x v="7"/>
    <x v="0"/>
    <x v="1"/>
    <x v="0"/>
    <x v="35"/>
    <x v="0"/>
    <x v="0"/>
    <x v="1"/>
    <x v="0"/>
    <x v="0"/>
    <x v="0"/>
    <x v="0"/>
    <x v="0"/>
    <x v="0"/>
    <x v="0"/>
    <x v="0"/>
    <x v="0"/>
    <x v="0"/>
    <x v="0"/>
    <x v="0"/>
    <x v="0"/>
    <x v="7"/>
    <x v="0"/>
    <x v="0"/>
  </r>
  <r>
    <x v="37"/>
    <x v="3"/>
    <x v="37"/>
    <x v="37"/>
    <x v="37"/>
    <x v="37"/>
    <x v="15"/>
    <x v="15"/>
    <x v="1"/>
    <x v="3"/>
    <x v="1"/>
    <x v="36"/>
    <x v="0"/>
    <x v="1"/>
    <x v="2"/>
    <x v="1"/>
    <x v="1"/>
    <x v="1"/>
    <x v="1"/>
    <x v="1"/>
    <x v="1"/>
    <x v="1"/>
    <x v="1"/>
    <x v="1"/>
    <x v="1"/>
    <x v="1"/>
    <x v="1"/>
    <x v="1"/>
    <x v="15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F42" firstHeaderRow="0" firstDataRow="1" firstDataCol="1"/>
  <pivotFields count="31"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/>
    <pivotField compact="0" showAll="0"/>
    <pivotField axis="axisRow" compact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/>
    <pivotField dataField="1"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/>
    <pivotField dataField="1"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</pivotFields>
  <rowFields count="1">
    <field x="3"/>
  </rowFields>
  <rowItems count="39">
    <i>
      <x/>
    </i>
    <i>
      <x v="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62"/>
    </i>
    <i>
      <x v="92"/>
    </i>
    <i>
      <x v="93"/>
    </i>
    <i>
      <x v="122"/>
    </i>
    <i>
      <x v="123"/>
    </i>
    <i>
      <x v="153"/>
    </i>
    <i>
      <x v="154"/>
    </i>
    <i>
      <x v="183"/>
    </i>
    <i>
      <x v="184"/>
    </i>
    <i>
      <x v="214"/>
    </i>
    <i>
      <x v="215"/>
    </i>
    <i>
      <x v="245"/>
    </i>
    <i>
      <x v="246"/>
    </i>
    <i>
      <x v="275"/>
    </i>
    <i>
      <x v="306"/>
    </i>
    <i>
      <x v="33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Edviron order ID" fld="5" subtotal="count" baseField="0" baseItem="0"/>
    <dataField name="Sum of Transaction Amt" fld="7" baseField="0" baseItem="0"/>
    <dataField name="Sum of ERP Revenue" fld="25" baseField="0" baseItem="0"/>
    <dataField name="Sum of Edviron Net Revenue" fld="26" baseField="0" baseItem="0"/>
    <dataField name="Sum of Edviron Gross Revenue" fld="2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F8" firstHeaderRow="0" firstDataRow="1" firstDataCol="1"/>
  <pivotFields count="31"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Row" compact="0" showAll="0">
      <items count="5">
        <item x="1"/>
        <item x="0"/>
        <item x="2"/>
        <item x="3"/>
        <item t="default"/>
      </items>
    </pivotField>
    <pivotField compact="0" showAll="0">
      <items count="39">
        <item x="32"/>
        <item x="11"/>
        <item x="0"/>
        <item x="1"/>
        <item x="25"/>
        <item x="26"/>
        <item x="9"/>
        <item x="7"/>
        <item x="27"/>
        <item x="33"/>
        <item x="28"/>
        <item x="29"/>
        <item x="30"/>
        <item x="13"/>
        <item x="12"/>
        <item x="34"/>
        <item x="2"/>
        <item x="35"/>
        <item x="31"/>
        <item x="36"/>
        <item x="3"/>
        <item x="4"/>
        <item x="15"/>
        <item x="14"/>
        <item x="10"/>
        <item x="5"/>
        <item x="6"/>
        <item x="16"/>
        <item x="18"/>
        <item x="17"/>
        <item x="20"/>
        <item x="19"/>
        <item x="8"/>
        <item x="23"/>
        <item x="21"/>
        <item x="22"/>
        <item x="24"/>
        <item x="37"/>
        <item t="default"/>
      </items>
    </pivotField>
    <pivotField compact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39">
        <item x="18"/>
        <item x="31"/>
        <item x="20"/>
        <item x="11"/>
        <item x="5"/>
        <item x="15"/>
        <item x="25"/>
        <item x="2"/>
        <item x="9"/>
        <item x="14"/>
        <item x="26"/>
        <item x="3"/>
        <item x="4"/>
        <item x="7"/>
        <item x="1"/>
        <item x="19"/>
        <item x="16"/>
        <item x="32"/>
        <item x="23"/>
        <item x="0"/>
        <item x="24"/>
        <item x="33"/>
        <item x="6"/>
        <item x="13"/>
        <item x="27"/>
        <item x="10"/>
        <item x="28"/>
        <item x="29"/>
        <item x="35"/>
        <item x="8"/>
        <item x="30"/>
        <item x="21"/>
        <item x="17"/>
        <item x="22"/>
        <item x="34"/>
        <item x="36"/>
        <item x="12"/>
        <item x="37"/>
        <item t="default"/>
      </items>
    </pivotField>
    <pivotField dataField="1"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dataField="1"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8">
        <item x="35"/>
        <item x="29"/>
        <item x="15"/>
        <item x="26"/>
        <item x="27"/>
        <item x="5"/>
        <item x="32"/>
        <item x="2"/>
        <item x="16"/>
        <item x="21"/>
        <item x="30"/>
        <item x="23"/>
        <item x="6"/>
        <item x="19"/>
        <item x="25"/>
        <item x="14"/>
        <item x="4"/>
        <item x="13"/>
        <item x="1"/>
        <item x="9"/>
        <item x="0"/>
        <item x="24"/>
        <item x="3"/>
        <item x="22"/>
        <item x="11"/>
        <item x="7"/>
        <item x="31"/>
        <item x="12"/>
        <item x="8"/>
        <item x="34"/>
        <item x="18"/>
        <item x="33"/>
        <item x="28"/>
        <item x="10"/>
        <item x="17"/>
        <item x="20"/>
        <item x="36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Edviron order ID" fld="5" subtotal="count" baseField="0" baseItem="0"/>
    <dataField name="Sum of Transaction Amt" fld="7" baseField="0" baseItem="0"/>
    <dataField name="Sum of ERP Revenue" fld="25" baseField="0" baseItem="0"/>
    <dataField name="Sum of Edviron Net Revenue" fld="26" baseField="0" baseItem="0"/>
    <dataField name="Sum of Edviron Gross Revenue" fld="2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11" firstHeaderRow="0" firstDataRow="1" firstDataCol="2"/>
  <pivotFields count="31"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39">
        <item x="32"/>
        <item x="11"/>
        <item x="0"/>
        <item x="1"/>
        <item x="25"/>
        <item x="26"/>
        <item x="9"/>
        <item x="7"/>
        <item x="27"/>
        <item x="33"/>
        <item x="28"/>
        <item x="29"/>
        <item x="30"/>
        <item x="13"/>
        <item x="12"/>
        <item x="34"/>
        <item x="2"/>
        <item x="35"/>
        <item x="31"/>
        <item x="36"/>
        <item x="3"/>
        <item x="4"/>
        <item x="15"/>
        <item x="14"/>
        <item x="10"/>
        <item x="5"/>
        <item x="6"/>
        <item x="16"/>
        <item x="18"/>
        <item x="17"/>
        <item x="20"/>
        <item x="19"/>
        <item x="8"/>
        <item x="23"/>
        <item x="21"/>
        <item x="22"/>
        <item x="24"/>
        <item x="37"/>
        <item t="default"/>
      </items>
    </pivotField>
    <pivotField compact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39">
        <item x="18"/>
        <item x="31"/>
        <item x="20"/>
        <item x="11"/>
        <item x="5"/>
        <item x="15"/>
        <item x="25"/>
        <item x="2"/>
        <item x="9"/>
        <item x="14"/>
        <item x="26"/>
        <item x="3"/>
        <item x="4"/>
        <item x="7"/>
        <item x="1"/>
        <item x="19"/>
        <item x="16"/>
        <item x="32"/>
        <item x="23"/>
        <item x="0"/>
        <item x="24"/>
        <item x="33"/>
        <item x="6"/>
        <item x="13"/>
        <item x="27"/>
        <item x="10"/>
        <item x="28"/>
        <item x="29"/>
        <item x="35"/>
        <item x="8"/>
        <item x="30"/>
        <item x="21"/>
        <item x="17"/>
        <item x="22"/>
        <item x="34"/>
        <item x="36"/>
        <item x="12"/>
        <item x="37"/>
        <item t="default"/>
      </items>
    </pivotField>
    <pivotField dataField="1"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dataField="1"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8">
        <item x="35"/>
        <item x="29"/>
        <item x="15"/>
        <item x="26"/>
        <item x="27"/>
        <item x="5"/>
        <item x="32"/>
        <item x="2"/>
        <item x="16"/>
        <item x="21"/>
        <item x="30"/>
        <item x="23"/>
        <item x="6"/>
        <item x="19"/>
        <item x="25"/>
        <item x="14"/>
        <item x="4"/>
        <item x="13"/>
        <item x="1"/>
        <item x="9"/>
        <item x="0"/>
        <item x="24"/>
        <item x="3"/>
        <item x="22"/>
        <item x="11"/>
        <item x="7"/>
        <item x="31"/>
        <item x="12"/>
        <item x="8"/>
        <item x="34"/>
        <item x="18"/>
        <item x="33"/>
        <item x="28"/>
        <item x="10"/>
        <item x="17"/>
        <item x="20"/>
        <item x="36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4">
        <item x="0"/>
        <item x="1"/>
        <item sd="0"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2">
    <field x="14"/>
    <field x="9"/>
  </rowFields>
  <rowItems count="8">
    <i>
      <x/>
    </i>
    <i r="1">
      <x v="1"/>
    </i>
    <i r="1">
      <x v="2"/>
    </i>
    <i>
      <x v="1"/>
    </i>
    <i r="1">
      <x/>
    </i>
    <i r="1"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ransaction Amt" fld="7" baseField="0" baseItem="0"/>
    <dataField name="Count of Edviron order ID" fld="5" subtotal="count" baseField="0" baseItem="0"/>
    <dataField name="Sum of ERP Revenue" fld="2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4:B17" firstHeaderRow="1" firstDataRow="1" firstDataCol="1"/>
  <pivotFields count="31"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39">
        <item x="32"/>
        <item x="11"/>
        <item x="0"/>
        <item x="1"/>
        <item x="25"/>
        <item x="26"/>
        <item x="9"/>
        <item x="7"/>
        <item x="27"/>
        <item x="33"/>
        <item x="28"/>
        <item x="29"/>
        <item x="30"/>
        <item x="13"/>
        <item x="12"/>
        <item x="34"/>
        <item x="2"/>
        <item x="35"/>
        <item x="31"/>
        <item x="36"/>
        <item x="3"/>
        <item x="4"/>
        <item x="15"/>
        <item x="14"/>
        <item x="10"/>
        <item x="5"/>
        <item x="6"/>
        <item x="16"/>
        <item x="18"/>
        <item x="17"/>
        <item x="20"/>
        <item x="19"/>
        <item x="8"/>
        <item x="23"/>
        <item x="21"/>
        <item x="22"/>
        <item x="24"/>
        <item x="37"/>
        <item t="default"/>
      </items>
    </pivotField>
    <pivotField compact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39">
        <item x="18"/>
        <item x="31"/>
        <item x="20"/>
        <item x="11"/>
        <item x="5"/>
        <item x="15"/>
        <item x="25"/>
        <item x="2"/>
        <item x="9"/>
        <item x="14"/>
        <item x="26"/>
        <item x="3"/>
        <item x="4"/>
        <item x="7"/>
        <item x="1"/>
        <item x="19"/>
        <item x="16"/>
        <item x="32"/>
        <item x="23"/>
        <item x="0"/>
        <item x="24"/>
        <item x="33"/>
        <item x="6"/>
        <item x="13"/>
        <item x="27"/>
        <item x="10"/>
        <item x="28"/>
        <item x="29"/>
        <item x="35"/>
        <item x="8"/>
        <item x="30"/>
        <item x="21"/>
        <item x="17"/>
        <item x="22"/>
        <item x="34"/>
        <item x="36"/>
        <item x="12"/>
        <item x="37"/>
        <item t="default"/>
      </items>
    </pivotField>
    <pivotField dataField="1"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38">
        <item x="35"/>
        <item x="29"/>
        <item x="15"/>
        <item x="26"/>
        <item x="27"/>
        <item x="5"/>
        <item x="32"/>
        <item x="2"/>
        <item x="16"/>
        <item x="21"/>
        <item x="30"/>
        <item x="23"/>
        <item x="6"/>
        <item x="19"/>
        <item x="25"/>
        <item x="14"/>
        <item x="4"/>
        <item x="13"/>
        <item x="1"/>
        <item x="9"/>
        <item x="0"/>
        <item x="24"/>
        <item x="3"/>
        <item x="22"/>
        <item x="11"/>
        <item x="7"/>
        <item x="31"/>
        <item x="12"/>
        <item x="8"/>
        <item x="34"/>
        <item x="18"/>
        <item x="33"/>
        <item x="28"/>
        <item x="10"/>
        <item x="17"/>
        <item x="20"/>
        <item x="36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Edviron order ID" fld="5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9" firstHeaderRow="0" firstDataRow="1" firstDataCol="3"/>
  <pivotFields count="31"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Row" compact="0" showAll="0">
      <items count="5">
        <item x="1"/>
        <item x="0"/>
        <item x="2"/>
        <item x="3"/>
        <item t="default"/>
      </items>
    </pivotField>
    <pivotField compact="0" showAll="0">
      <items count="39">
        <item x="32"/>
        <item x="11"/>
        <item x="0"/>
        <item x="1"/>
        <item x="25"/>
        <item x="26"/>
        <item x="9"/>
        <item x="7"/>
        <item x="27"/>
        <item x="33"/>
        <item x="28"/>
        <item x="29"/>
        <item x="30"/>
        <item x="13"/>
        <item x="12"/>
        <item x="34"/>
        <item x="2"/>
        <item x="35"/>
        <item x="31"/>
        <item x="36"/>
        <item x="3"/>
        <item x="4"/>
        <item x="15"/>
        <item x="14"/>
        <item x="10"/>
        <item x="5"/>
        <item x="6"/>
        <item x="16"/>
        <item x="18"/>
        <item x="17"/>
        <item x="20"/>
        <item x="19"/>
        <item x="8"/>
        <item x="23"/>
        <item x="21"/>
        <item x="22"/>
        <item x="24"/>
        <item x="37"/>
        <item t="default"/>
      </items>
    </pivotField>
    <pivotField compact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39">
        <item x="18"/>
        <item x="31"/>
        <item x="20"/>
        <item x="11"/>
        <item x="5"/>
        <item x="15"/>
        <item x="25"/>
        <item x="2"/>
        <item x="9"/>
        <item x="14"/>
        <item x="26"/>
        <item x="3"/>
        <item x="4"/>
        <item x="7"/>
        <item x="1"/>
        <item x="19"/>
        <item x="16"/>
        <item x="32"/>
        <item x="23"/>
        <item x="0"/>
        <item x="24"/>
        <item x="33"/>
        <item x="6"/>
        <item x="13"/>
        <item x="27"/>
        <item x="10"/>
        <item x="28"/>
        <item x="29"/>
        <item x="35"/>
        <item x="8"/>
        <item x="30"/>
        <item x="21"/>
        <item x="17"/>
        <item x="22"/>
        <item x="34"/>
        <item x="36"/>
        <item x="12"/>
        <item x="37"/>
        <item t="default"/>
      </items>
    </pivotField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multipleItemSelectionAllowed="1" showAll="0">
      <items count="3">
        <item x="0"/>
        <item h="1" x="1"/>
        <item t="default"/>
      </items>
    </pivotField>
    <pivotField compact="0" showAll="0">
      <items count="38">
        <item x="35"/>
        <item x="29"/>
        <item x="15"/>
        <item x="26"/>
        <item x="27"/>
        <item x="5"/>
        <item x="32"/>
        <item x="2"/>
        <item x="16"/>
        <item x="21"/>
        <item x="30"/>
        <item x="23"/>
        <item x="6"/>
        <item x="19"/>
        <item x="25"/>
        <item x="14"/>
        <item x="4"/>
        <item x="13"/>
        <item x="1"/>
        <item x="9"/>
        <item x="0"/>
        <item x="24"/>
        <item x="3"/>
        <item x="22"/>
        <item x="11"/>
        <item x="7"/>
        <item x="31"/>
        <item x="12"/>
        <item x="8"/>
        <item x="34"/>
        <item x="18"/>
        <item x="33"/>
        <item x="28"/>
        <item x="10"/>
        <item x="17"/>
        <item x="20"/>
        <item x="36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3">
    <field x="10"/>
    <field x="15"/>
    <field x="1"/>
  </rowFields>
  <rowItems count="6">
    <i>
      <x/>
    </i>
    <i r="1">
      <x v="1"/>
    </i>
    <i r="2">
      <x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 Payable to ERP" fld="29" baseField="0" baseItem="0"/>
    <dataField name="Sum of Edviron Net Revenue" fld="2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I4:J42" firstHeaderRow="1" firstDataRow="1" firstDataCol="1"/>
  <pivotFields count="31"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39">
        <item x="32"/>
        <item x="11"/>
        <item x="0"/>
        <item x="1"/>
        <item x="25"/>
        <item x="26"/>
        <item x="9"/>
        <item x="7"/>
        <item x="27"/>
        <item x="33"/>
        <item x="28"/>
        <item x="29"/>
        <item x="30"/>
        <item x="13"/>
        <item x="12"/>
        <item x="34"/>
        <item x="2"/>
        <item x="35"/>
        <item x="31"/>
        <item x="36"/>
        <item x="3"/>
        <item x="4"/>
        <item x="15"/>
        <item x="14"/>
        <item x="10"/>
        <item x="5"/>
        <item x="6"/>
        <item x="16"/>
        <item x="18"/>
        <item x="17"/>
        <item x="20"/>
        <item x="19"/>
        <item x="8"/>
        <item x="23"/>
        <item x="21"/>
        <item x="22"/>
        <item x="24"/>
        <item x="37"/>
        <item t="default"/>
      </items>
    </pivotField>
    <pivotField axis="axisRow" compact="0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39">
        <item x="18"/>
        <item x="31"/>
        <item x="20"/>
        <item x="11"/>
        <item x="5"/>
        <item x="15"/>
        <item x="25"/>
        <item x="2"/>
        <item x="9"/>
        <item x="14"/>
        <item x="26"/>
        <item x="3"/>
        <item x="4"/>
        <item x="7"/>
        <item x="1"/>
        <item x="19"/>
        <item x="16"/>
        <item x="32"/>
        <item x="23"/>
        <item x="0"/>
        <item x="24"/>
        <item x="33"/>
        <item x="6"/>
        <item x="13"/>
        <item x="27"/>
        <item x="10"/>
        <item x="28"/>
        <item x="29"/>
        <item x="35"/>
        <item x="8"/>
        <item x="30"/>
        <item x="21"/>
        <item x="17"/>
        <item x="22"/>
        <item x="34"/>
        <item x="36"/>
        <item x="12"/>
        <item x="37"/>
        <item t="default"/>
      </items>
    </pivotField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8">
        <item x="35"/>
        <item x="29"/>
        <item x="15"/>
        <item x="26"/>
        <item x="27"/>
        <item x="5"/>
        <item x="32"/>
        <item x="2"/>
        <item x="16"/>
        <item x="21"/>
        <item x="30"/>
        <item x="23"/>
        <item x="6"/>
        <item x="19"/>
        <item x="25"/>
        <item x="14"/>
        <item x="4"/>
        <item x="13"/>
        <item x="1"/>
        <item x="9"/>
        <item x="0"/>
        <item x="24"/>
        <item x="3"/>
        <item x="22"/>
        <item x="11"/>
        <item x="7"/>
        <item x="31"/>
        <item x="12"/>
        <item x="8"/>
        <item x="34"/>
        <item x="18"/>
        <item x="33"/>
        <item x="28"/>
        <item x="10"/>
        <item x="17"/>
        <item x="20"/>
        <item x="36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h="1"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3"/>
  </rowFields>
  <rowItems count="38">
    <i>
      <x v="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62"/>
    </i>
    <i>
      <x v="92"/>
    </i>
    <i>
      <x v="93"/>
    </i>
    <i>
      <x v="122"/>
    </i>
    <i>
      <x v="123"/>
    </i>
    <i>
      <x v="153"/>
    </i>
    <i>
      <x v="154"/>
    </i>
    <i>
      <x v="183"/>
    </i>
    <i>
      <x v="184"/>
    </i>
    <i>
      <x v="214"/>
    </i>
    <i>
      <x v="215"/>
    </i>
    <i>
      <x v="245"/>
    </i>
    <i>
      <x v="246"/>
    </i>
    <i>
      <x v="275"/>
    </i>
    <i>
      <x v="306"/>
    </i>
    <i>
      <x v="336"/>
    </i>
    <i t="grand">
      <x/>
    </i>
  </rowItems>
  <colItems count="1">
    <i/>
  </colItems>
  <dataFields count="1">
    <dataField name="Time-based trend (Daily / Monthly)" fld="27" baseField="0" baseItem="0"/>
  </dataFields>
  <formats count="4">
    <format dxfId="0">
      <pivotArea dataOnly="0" labelOnly="1" fieldPosition="0">
        <references count="1">
          <reference field="3" count="1">
            <x v="23"/>
          </reference>
        </references>
      </pivotArea>
    </format>
    <format dxfId="1">
      <pivotArea dataOnly="0" labelOnly="1" fieldPosition="0">
        <references count="1">
          <reference field="3" count="1">
            <x v="24"/>
          </reference>
        </references>
      </pivotArea>
    </format>
    <format dxfId="2">
      <pivotArea dataOnly="0" labelOnly="1" fieldPosition="0">
        <references count="1">
          <reference field="3" count="1">
            <x v="23"/>
          </reference>
        </references>
      </pivotArea>
    </format>
    <format dxfId="3">
      <pivotArea dataOnly="0" labelOnly="1" fieldPosition="0">
        <references count="1">
          <reference field="3" count="1">
            <x v="2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C4:D7" firstHeaderRow="1" firstDataRow="1" firstDataCol="1"/>
  <pivotFields count="31"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39">
        <item x="32"/>
        <item x="11"/>
        <item x="0"/>
        <item x="1"/>
        <item x="25"/>
        <item x="26"/>
        <item x="9"/>
        <item x="7"/>
        <item x="27"/>
        <item x="33"/>
        <item x="28"/>
        <item x="29"/>
        <item x="30"/>
        <item x="13"/>
        <item x="12"/>
        <item x="34"/>
        <item x="2"/>
        <item x="35"/>
        <item x="31"/>
        <item x="36"/>
        <item x="3"/>
        <item x="4"/>
        <item x="15"/>
        <item x="14"/>
        <item x="10"/>
        <item x="5"/>
        <item x="6"/>
        <item x="16"/>
        <item x="18"/>
        <item x="17"/>
        <item x="20"/>
        <item x="19"/>
        <item x="8"/>
        <item x="23"/>
        <item x="21"/>
        <item x="22"/>
        <item x="24"/>
        <item x="37"/>
        <item t="default"/>
      </items>
    </pivotField>
    <pivotField compact="0" showAll="0">
      <items count="369">
        <item x="0"/>
        <item x="367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t="default"/>
      </items>
    </pivotField>
    <pivotField compact="0" showAll="0">
      <items count="39">
        <item x="18"/>
        <item x="31"/>
        <item x="20"/>
        <item x="11"/>
        <item x="5"/>
        <item x="15"/>
        <item x="25"/>
        <item x="2"/>
        <item x="9"/>
        <item x="14"/>
        <item x="26"/>
        <item x="3"/>
        <item x="4"/>
        <item x="7"/>
        <item x="1"/>
        <item x="19"/>
        <item x="16"/>
        <item x="32"/>
        <item x="23"/>
        <item x="0"/>
        <item x="24"/>
        <item x="33"/>
        <item x="6"/>
        <item x="13"/>
        <item x="27"/>
        <item x="10"/>
        <item x="28"/>
        <item x="29"/>
        <item x="35"/>
        <item x="8"/>
        <item x="30"/>
        <item x="21"/>
        <item x="17"/>
        <item x="22"/>
        <item x="34"/>
        <item x="36"/>
        <item x="12"/>
        <item x="37"/>
        <item t="default"/>
      </items>
    </pivotField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dataField="1"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8">
        <item x="35"/>
        <item x="29"/>
        <item x="15"/>
        <item x="26"/>
        <item x="27"/>
        <item x="5"/>
        <item x="32"/>
        <item x="2"/>
        <item x="16"/>
        <item x="21"/>
        <item x="30"/>
        <item x="23"/>
        <item x="6"/>
        <item x="19"/>
        <item x="25"/>
        <item x="14"/>
        <item x="4"/>
        <item x="13"/>
        <item x="1"/>
        <item x="9"/>
        <item x="0"/>
        <item x="24"/>
        <item x="3"/>
        <item x="22"/>
        <item x="11"/>
        <item x="7"/>
        <item x="31"/>
        <item x="12"/>
        <item x="8"/>
        <item x="34"/>
        <item x="18"/>
        <item x="33"/>
        <item x="28"/>
        <item x="10"/>
        <item x="17"/>
        <item x="20"/>
        <item x="36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multipleItemSelectionAllowed="1" showAll="0">
      <items count="4">
        <item x="0"/>
        <item x="1"/>
        <item h="1"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Gateway-wise contribution_x000d__x000a_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C9:D11" firstHeaderRow="1" firstDataRow="1" firstDataCol="1"/>
  <pivotFields count="31"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39">
        <item x="32"/>
        <item x="11"/>
        <item x="0"/>
        <item x="1"/>
        <item x="25"/>
        <item x="26"/>
        <item x="9"/>
        <item x="7"/>
        <item x="27"/>
        <item x="33"/>
        <item x="28"/>
        <item x="29"/>
        <item x="30"/>
        <item x="13"/>
        <item x="12"/>
        <item x="34"/>
        <item x="2"/>
        <item x="35"/>
        <item x="31"/>
        <item x="36"/>
        <item x="3"/>
        <item x="4"/>
        <item x="15"/>
        <item x="14"/>
        <item x="10"/>
        <item x="5"/>
        <item x="6"/>
        <item x="16"/>
        <item x="18"/>
        <item x="17"/>
        <item x="20"/>
        <item x="19"/>
        <item x="8"/>
        <item x="23"/>
        <item x="21"/>
        <item x="22"/>
        <item x="24"/>
        <item x="37"/>
        <item t="default"/>
      </items>
    </pivotField>
    <pivotField compact="0" showAll="0">
      <items count="369">
        <item x="0"/>
        <item x="367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t="default"/>
      </items>
    </pivotField>
    <pivotField compact="0" showAll="0">
      <items count="39">
        <item x="18"/>
        <item x="31"/>
        <item x="20"/>
        <item x="11"/>
        <item x="5"/>
        <item x="15"/>
        <item x="25"/>
        <item x="2"/>
        <item x="9"/>
        <item x="14"/>
        <item x="26"/>
        <item x="3"/>
        <item x="4"/>
        <item x="7"/>
        <item x="1"/>
        <item x="19"/>
        <item x="16"/>
        <item x="32"/>
        <item x="23"/>
        <item x="0"/>
        <item x="24"/>
        <item x="33"/>
        <item x="6"/>
        <item x="13"/>
        <item x="27"/>
        <item x="10"/>
        <item x="28"/>
        <item x="29"/>
        <item x="35"/>
        <item x="8"/>
        <item x="30"/>
        <item x="21"/>
        <item x="17"/>
        <item x="22"/>
        <item x="34"/>
        <item x="36"/>
        <item x="12"/>
        <item x="37"/>
        <item t="default"/>
      </items>
    </pivotField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dataField="1"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axis="axisRow" compact="0" multipleItemSelectionAllowed="1" showAll="0">
      <items count="3">
        <item x="0"/>
        <item x="1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8">
        <item x="35"/>
        <item x="29"/>
        <item x="15"/>
        <item x="26"/>
        <item x="27"/>
        <item x="5"/>
        <item x="32"/>
        <item x="2"/>
        <item x="16"/>
        <item x="21"/>
        <item x="30"/>
        <item x="23"/>
        <item x="6"/>
        <item x="19"/>
        <item x="25"/>
        <item x="14"/>
        <item x="4"/>
        <item x="13"/>
        <item x="1"/>
        <item x="9"/>
        <item x="0"/>
        <item x="24"/>
        <item x="3"/>
        <item x="22"/>
        <item x="11"/>
        <item x="7"/>
        <item x="31"/>
        <item x="12"/>
        <item x="8"/>
        <item x="34"/>
        <item x="18"/>
        <item x="33"/>
        <item x="28"/>
        <item x="10"/>
        <item x="17"/>
        <item x="20"/>
        <item x="36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h="1"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8"/>
  </rowFields>
  <rowItems count="2">
    <i>
      <x/>
    </i>
    <i t="grand">
      <x/>
    </i>
  </rowItems>
  <colItems count="1">
    <i/>
  </colItems>
  <dataFields count="1">
    <dataField name="Total Transactions_x000d__x000a_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4:G8" firstHeaderRow="1" firstDataRow="1" firstDataCol="1"/>
  <pivotFields count="31"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Row" compact="0" showAll="0">
      <items count="5">
        <item x="1"/>
        <item x="0"/>
        <item x="2"/>
        <item x="3"/>
        <item t="default"/>
      </items>
    </pivotField>
    <pivotField compact="0" showAll="0">
      <items count="39">
        <item x="32"/>
        <item x="11"/>
        <item x="0"/>
        <item x="1"/>
        <item x="25"/>
        <item x="26"/>
        <item x="9"/>
        <item x="7"/>
        <item x="27"/>
        <item x="33"/>
        <item x="28"/>
        <item x="29"/>
        <item x="30"/>
        <item x="13"/>
        <item x="12"/>
        <item x="34"/>
        <item x="2"/>
        <item x="35"/>
        <item x="31"/>
        <item x="36"/>
        <item x="3"/>
        <item x="4"/>
        <item x="15"/>
        <item x="14"/>
        <item x="10"/>
        <item x="5"/>
        <item x="6"/>
        <item x="16"/>
        <item x="18"/>
        <item x="17"/>
        <item x="20"/>
        <item x="19"/>
        <item x="8"/>
        <item x="23"/>
        <item x="21"/>
        <item x="22"/>
        <item x="24"/>
        <item x="37"/>
        <item t="default"/>
      </items>
    </pivotField>
    <pivotField compact="0" showAll="0">
      <items count="369">
        <item x="0"/>
        <item x="367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t="default"/>
      </items>
    </pivotField>
    <pivotField compact="0" showAll="0">
      <items count="39">
        <item x="18"/>
        <item x="31"/>
        <item x="20"/>
        <item x="11"/>
        <item x="5"/>
        <item x="15"/>
        <item x="25"/>
        <item x="2"/>
        <item x="9"/>
        <item x="14"/>
        <item x="26"/>
        <item x="3"/>
        <item x="4"/>
        <item x="7"/>
        <item x="1"/>
        <item x="19"/>
        <item x="16"/>
        <item x="32"/>
        <item x="23"/>
        <item x="0"/>
        <item x="24"/>
        <item x="33"/>
        <item x="6"/>
        <item x="13"/>
        <item x="27"/>
        <item x="10"/>
        <item x="28"/>
        <item x="29"/>
        <item x="35"/>
        <item x="8"/>
        <item x="30"/>
        <item x="21"/>
        <item x="17"/>
        <item x="22"/>
        <item x="34"/>
        <item x="36"/>
        <item x="12"/>
        <item x="37"/>
        <item t="default"/>
      </items>
    </pivotField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dataField="1"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3">
        <item sd="0" x="0"/>
        <item x="1"/>
        <item t="default"/>
      </items>
    </pivotField>
    <pivotField compact="0" showAll="0">
      <items count="38">
        <item x="35"/>
        <item x="29"/>
        <item x="15"/>
        <item x="26"/>
        <item x="27"/>
        <item x="5"/>
        <item x="32"/>
        <item x="2"/>
        <item x="16"/>
        <item x="21"/>
        <item x="30"/>
        <item x="23"/>
        <item x="6"/>
        <item x="19"/>
        <item x="25"/>
        <item x="14"/>
        <item x="4"/>
        <item x="13"/>
        <item x="1"/>
        <item x="9"/>
        <item x="0"/>
        <item x="24"/>
        <item x="3"/>
        <item x="22"/>
        <item x="11"/>
        <item x="7"/>
        <item x="31"/>
        <item x="12"/>
        <item x="8"/>
        <item x="34"/>
        <item x="18"/>
        <item x="33"/>
        <item x="28"/>
        <item x="10"/>
        <item x="17"/>
        <item x="20"/>
        <item x="36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h="1" x="2"/>
        <item t="default"/>
      </items>
    </pivotField>
    <pivotField compact="0" multipleItemSelectionAllowed="1" showAll="0">
      <items count="3">
        <item x="0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7">
        <item x="6"/>
        <item x="0"/>
        <item x="3"/>
        <item x="2"/>
        <item x="9"/>
        <item x="5"/>
        <item x="10"/>
        <item x="1"/>
        <item x="4"/>
        <item x="7"/>
        <item x="13"/>
        <item x="8"/>
        <item x="14"/>
        <item x="12"/>
        <item x="11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ransaction Amt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ateway" sourceName="Gateway">
  <pivotTables>
    <pivotTable tabId="11" name="PivotTable10"/>
    <pivotTable tabId="11" name="PivotTable11"/>
    <pivotTable tabId="11" name="PivotTable12"/>
    <pivotTable tabId="11" name="PivotTable15"/>
  </pivotTables>
  <data>
    <tabular pivotCacheId="1">
      <items count="3">
        <i x="0" s="1"/>
        <i x="1" s="1"/>
        <i x="2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 Method">
  <pivotTables>
    <pivotTable tabId="11" name="PivotTable10"/>
    <pivotTable tabId="11" name="PivotTable11"/>
    <pivotTable tabId="11" name="PivotTable12"/>
    <pivotTable tabId="11" name="PivotTable15"/>
  </pivotTables>
  <data>
    <tabular pivotCacheId="1">
      <items count="2">
        <i x="0" s="1"/>
        <i x="1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11" name="PivotTable10"/>
    <pivotTable tabId="11" name="PivotTable11"/>
    <pivotTable tabId="11" name="PivotTable12"/>
    <pivotTable tabId="11" name="PivotTable15"/>
  </pivotTables>
  <data>
    <tabular pivotCacheId="1">
      <items count="368">
        <i x="13" s="1"/>
        <i x="14" s="1"/>
        <i x="15" s="1"/>
        <i x="16" s="1"/>
        <i x="17" s="1"/>
        <i x="18" s="1"/>
        <i x="19" s="1"/>
        <i x="92" s="1"/>
        <i x="214" s="1"/>
        <i x="336" s="1"/>
        <i x="183" s="1"/>
        <i x="153" s="1"/>
        <i x="122" s="1"/>
        <i x="306" s="1"/>
        <i x="275" s="1"/>
        <i x="245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93" s="1"/>
        <i x="215" s="1"/>
        <i x="33" s="1"/>
        <i x="2" s="1"/>
        <i x="184" s="1"/>
        <i x="154" s="1"/>
        <i x="62" s="1"/>
        <i x="123" s="1"/>
        <i x="246" s="1"/>
        <i x="30" s="1"/>
        <i x="31" s="1"/>
        <i x="0" s="1" nd="1"/>
        <i x="367" s="1" nd="1"/>
        <i x="101" s="1" nd="1"/>
        <i x="223" s="1" nd="1"/>
        <i x="345" s="1" nd="1"/>
        <i x="41" s="1" nd="1"/>
        <i x="10" s="1" nd="1"/>
        <i x="192" s="1" nd="1"/>
        <i x="162" s="1" nd="1"/>
        <i x="70" s="1" nd="1"/>
        <i x="131" s="1" nd="1"/>
        <i x="315" s="1" nd="1"/>
        <i x="284" s="1" nd="1"/>
        <i x="254" s="1" nd="1"/>
        <i x="102" s="1" nd="1"/>
        <i x="224" s="1" nd="1"/>
        <i x="346" s="1" nd="1"/>
        <i x="42" s="1" nd="1"/>
        <i x="11" s="1" nd="1"/>
        <i x="193" s="1" nd="1"/>
        <i x="163" s="1" nd="1"/>
        <i x="71" s="1" nd="1"/>
        <i x="132" s="1" nd="1"/>
        <i x="316" s="1" nd="1"/>
        <i x="285" s="1" nd="1"/>
        <i x="255" s="1" nd="1"/>
        <i x="103" s="1" nd="1"/>
        <i x="225" s="1" nd="1"/>
        <i x="347" s="1" nd="1"/>
        <i x="43" s="1" nd="1"/>
        <i x="12" s="1" nd="1"/>
        <i x="194" s="1" nd="1"/>
        <i x="164" s="1" nd="1"/>
        <i x="72" s="1" nd="1"/>
        <i x="133" s="1" nd="1"/>
        <i x="317" s="1" nd="1"/>
        <i x="286" s="1" nd="1"/>
        <i x="256" s="1" nd="1"/>
        <i x="104" s="1" nd="1"/>
        <i x="226" s="1" nd="1"/>
        <i x="348" s="1" nd="1"/>
        <i x="44" s="1" nd="1"/>
        <i x="195" s="1" nd="1"/>
        <i x="165" s="1" nd="1"/>
        <i x="73" s="1" nd="1"/>
        <i x="134" s="1" nd="1"/>
        <i x="318" s="1" nd="1"/>
        <i x="287" s="1" nd="1"/>
        <i x="257" s="1" nd="1"/>
        <i x="105" s="1" nd="1"/>
        <i x="227" s="1" nd="1"/>
        <i x="349" s="1" nd="1"/>
        <i x="45" s="1" nd="1"/>
        <i x="196" s="1" nd="1"/>
        <i x="166" s="1" nd="1"/>
        <i x="74" s="1" nd="1"/>
        <i x="135" s="1" nd="1"/>
        <i x="319" s="1" nd="1"/>
        <i x="288" s="1" nd="1"/>
        <i x="258" s="1" nd="1"/>
        <i x="106" s="1" nd="1"/>
        <i x="228" s="1" nd="1"/>
        <i x="350" s="1" nd="1"/>
        <i x="46" s="1" nd="1"/>
        <i x="197" s="1" nd="1"/>
        <i x="167" s="1" nd="1"/>
        <i x="75" s="1" nd="1"/>
        <i x="136" s="1" nd="1"/>
        <i x="320" s="1" nd="1"/>
        <i x="289" s="1" nd="1"/>
        <i x="259" s="1" nd="1"/>
        <i x="107" s="1" nd="1"/>
        <i x="229" s="1" nd="1"/>
        <i x="351" s="1" nd="1"/>
        <i x="47" s="1" nd="1"/>
        <i x="198" s="1" nd="1"/>
        <i x="168" s="1" nd="1"/>
        <i x="76" s="1" nd="1"/>
        <i x="137" s="1" nd="1"/>
        <i x="321" s="1" nd="1"/>
        <i x="290" s="1" nd="1"/>
        <i x="260" s="1" nd="1"/>
        <i x="108" s="1" nd="1"/>
        <i x="230" s="1" nd="1"/>
        <i x="352" s="1" nd="1"/>
        <i x="48" s="1" nd="1"/>
        <i x="199" s="1" nd="1"/>
        <i x="169" s="1" nd="1"/>
        <i x="77" s="1" nd="1"/>
        <i x="138" s="1" nd="1"/>
        <i x="322" s="1" nd="1"/>
        <i x="291" s="1" nd="1"/>
        <i x="261" s="1" nd="1"/>
        <i x="109" s="1" nd="1"/>
        <i x="231" s="1" nd="1"/>
        <i x="353" s="1" nd="1"/>
        <i x="49" s="1" nd="1"/>
        <i x="200" s="1" nd="1"/>
        <i x="170" s="1" nd="1"/>
        <i x="78" s="1" nd="1"/>
        <i x="139" s="1" nd="1"/>
        <i x="323" s="1" nd="1"/>
        <i x="292" s="1" nd="1"/>
        <i x="262" s="1" nd="1"/>
        <i x="110" s="1" nd="1"/>
        <i x="232" s="1" nd="1"/>
        <i x="354" s="1" nd="1"/>
        <i x="50" s="1" nd="1"/>
        <i x="201" s="1" nd="1"/>
        <i x="171" s="1" nd="1"/>
        <i x="79" s="1" nd="1"/>
        <i x="140" s="1" nd="1"/>
        <i x="324" s="1" nd="1"/>
        <i x="293" s="1" nd="1"/>
        <i x="263" s="1" nd="1"/>
        <i x="32" s="1" nd="1"/>
        <i x="1" s="1" nd="1"/>
        <i x="61" s="1" nd="1"/>
        <i x="111" s="1" nd="1"/>
        <i x="233" s="1" nd="1"/>
        <i x="355" s="1" nd="1"/>
        <i x="51" s="1" nd="1"/>
        <i x="202" s="1" nd="1"/>
        <i x="172" s="1" nd="1"/>
        <i x="80" s="1" nd="1"/>
        <i x="141" s="1" nd="1"/>
        <i x="325" s="1" nd="1"/>
        <i x="294" s="1" nd="1"/>
        <i x="264" s="1" nd="1"/>
        <i x="112" s="1" nd="1"/>
        <i x="234" s="1" nd="1"/>
        <i x="356" s="1" nd="1"/>
        <i x="52" s="1" nd="1"/>
        <i x="203" s="1" nd="1"/>
        <i x="173" s="1" nd="1"/>
        <i x="81" s="1" nd="1"/>
        <i x="142" s="1" nd="1"/>
        <i x="326" s="1" nd="1"/>
        <i x="295" s="1" nd="1"/>
        <i x="265" s="1" nd="1"/>
        <i x="113" s="1" nd="1"/>
        <i x="235" s="1" nd="1"/>
        <i x="357" s="1" nd="1"/>
        <i x="53" s="1" nd="1"/>
        <i x="204" s="1" nd="1"/>
        <i x="174" s="1" nd="1"/>
        <i x="82" s="1" nd="1"/>
        <i x="143" s="1" nd="1"/>
        <i x="327" s="1" nd="1"/>
        <i x="296" s="1" nd="1"/>
        <i x="266" s="1" nd="1"/>
        <i x="114" s="1" nd="1"/>
        <i x="236" s="1" nd="1"/>
        <i x="358" s="1" nd="1"/>
        <i x="54" s="1" nd="1"/>
        <i x="205" s="1" nd="1"/>
        <i x="175" s="1" nd="1"/>
        <i x="83" s="1" nd="1"/>
        <i x="144" s="1" nd="1"/>
        <i x="328" s="1" nd="1"/>
        <i x="297" s="1" nd="1"/>
        <i x="267" s="1" nd="1"/>
        <i x="115" s="1" nd="1"/>
        <i x="237" s="1" nd="1"/>
        <i x="359" s="1" nd="1"/>
        <i x="55" s="1" nd="1"/>
        <i x="206" s="1" nd="1"/>
        <i x="176" s="1" nd="1"/>
        <i x="84" s="1" nd="1"/>
        <i x="145" s="1" nd="1"/>
        <i x="329" s="1" nd="1"/>
        <i x="298" s="1" nd="1"/>
        <i x="268" s="1" nd="1"/>
        <i x="116" s="1" nd="1"/>
        <i x="238" s="1" nd="1"/>
        <i x="360" s="1" nd="1"/>
        <i x="56" s="1" nd="1"/>
        <i x="207" s="1" nd="1"/>
        <i x="177" s="1" nd="1"/>
        <i x="85" s="1" nd="1"/>
        <i x="146" s="1" nd="1"/>
        <i x="330" s="1" nd="1"/>
        <i x="299" s="1" nd="1"/>
        <i x="269" s="1" nd="1"/>
        <i x="117" s="1" nd="1"/>
        <i x="239" s="1" nd="1"/>
        <i x="361" s="1" nd="1"/>
        <i x="57" s="1" nd="1"/>
        <i x="208" s="1" nd="1"/>
        <i x="178" s="1" nd="1"/>
        <i x="86" s="1" nd="1"/>
        <i x="147" s="1" nd="1"/>
        <i x="331" s="1" nd="1"/>
        <i x="300" s="1" nd="1"/>
        <i x="270" s="1" nd="1"/>
        <i x="118" s="1" nd="1"/>
        <i x="240" s="1" nd="1"/>
        <i x="362" s="1" nd="1"/>
        <i x="58" s="1" nd="1"/>
        <i x="209" s="1" nd="1"/>
        <i x="179" s="1" nd="1"/>
        <i x="87" s="1" nd="1"/>
        <i x="148" s="1" nd="1"/>
        <i x="332" s="1" nd="1"/>
        <i x="301" s="1" nd="1"/>
        <i x="271" s="1" nd="1"/>
        <i x="119" s="1" nd="1"/>
        <i x="241" s="1" nd="1"/>
        <i x="363" s="1" nd="1"/>
        <i x="59" s="1" nd="1"/>
        <i x="210" s="1" nd="1"/>
        <i x="180" s="1" nd="1"/>
        <i x="88" s="1" nd="1"/>
        <i x="149" s="1" nd="1"/>
        <i x="333" s="1" nd="1"/>
        <i x="302" s="1" nd="1"/>
        <i x="272" s="1" nd="1"/>
        <i x="120" s="1" nd="1"/>
        <i x="242" s="1" nd="1"/>
        <i x="364" s="1" nd="1"/>
        <i x="60" s="1" nd="1"/>
        <i x="211" s="1" nd="1"/>
        <i x="181" s="1" nd="1"/>
        <i x="89" s="1" nd="1"/>
        <i x="150" s="1" nd="1"/>
        <i x="334" s="1" nd="1"/>
        <i x="303" s="1" nd="1"/>
        <i x="273" s="1" nd="1"/>
        <i x="337" s="1" nd="1"/>
        <i x="307" s="1" nd="1"/>
        <i x="276" s="1" nd="1"/>
        <i x="121" s="1" nd="1"/>
        <i x="243" s="1" nd="1"/>
        <i x="365" s="1" nd="1"/>
        <i x="212" s="1" nd="1"/>
        <i x="182" s="1" nd="1"/>
        <i x="90" s="1" nd="1"/>
        <i x="151" s="1" nd="1"/>
        <i x="335" s="1" nd="1"/>
        <i x="304" s="1" nd="1"/>
        <i x="274" s="1" nd="1"/>
        <i x="244" s="1" nd="1"/>
        <i x="366" s="1" nd="1"/>
        <i x="213" s="1" nd="1"/>
        <i x="91" s="1" nd="1"/>
        <i x="152" s="1" nd="1"/>
        <i x="305" s="1" nd="1"/>
        <i x="94" s="1" nd="1"/>
        <i x="216" s="1" nd="1"/>
        <i x="338" s="1" nd="1"/>
        <i x="34" s="1" nd="1"/>
        <i x="3" s="1" nd="1"/>
        <i x="185" s="1" nd="1"/>
        <i x="155" s="1" nd="1"/>
        <i x="63" s="1" nd="1"/>
        <i x="124" s="1" nd="1"/>
        <i x="308" s="1" nd="1"/>
        <i x="277" s="1" nd="1"/>
        <i x="247" s="1" nd="1"/>
        <i x="95" s="1" nd="1"/>
        <i x="217" s="1" nd="1"/>
        <i x="339" s="1" nd="1"/>
        <i x="35" s="1" nd="1"/>
        <i x="4" s="1" nd="1"/>
        <i x="186" s="1" nd="1"/>
        <i x="156" s="1" nd="1"/>
        <i x="64" s="1" nd="1"/>
        <i x="125" s="1" nd="1"/>
        <i x="309" s="1" nd="1"/>
        <i x="278" s="1" nd="1"/>
        <i x="248" s="1" nd="1"/>
        <i x="96" s="1" nd="1"/>
        <i x="218" s="1" nd="1"/>
        <i x="340" s="1" nd="1"/>
        <i x="36" s="1" nd="1"/>
        <i x="5" s="1" nd="1"/>
        <i x="187" s="1" nd="1"/>
        <i x="157" s="1" nd="1"/>
        <i x="65" s="1" nd="1"/>
        <i x="126" s="1" nd="1"/>
        <i x="310" s="1" nd="1"/>
        <i x="279" s="1" nd="1"/>
        <i x="249" s="1" nd="1"/>
        <i x="97" s="1" nd="1"/>
        <i x="219" s="1" nd="1"/>
        <i x="341" s="1" nd="1"/>
        <i x="37" s="1" nd="1"/>
        <i x="6" s="1" nd="1"/>
        <i x="188" s="1" nd="1"/>
        <i x="158" s="1" nd="1"/>
        <i x="66" s="1" nd="1"/>
        <i x="127" s="1" nd="1"/>
        <i x="311" s="1" nd="1"/>
        <i x="280" s="1" nd="1"/>
        <i x="250" s="1" nd="1"/>
        <i x="98" s="1" nd="1"/>
        <i x="220" s="1" nd="1"/>
        <i x="342" s="1" nd="1"/>
        <i x="38" s="1" nd="1"/>
        <i x="7" s="1" nd="1"/>
        <i x="189" s="1" nd="1"/>
        <i x="159" s="1" nd="1"/>
        <i x="67" s="1" nd="1"/>
        <i x="128" s="1" nd="1"/>
        <i x="312" s="1" nd="1"/>
        <i x="281" s="1" nd="1"/>
        <i x="251" s="1" nd="1"/>
        <i x="99" s="1" nd="1"/>
        <i x="221" s="1" nd="1"/>
        <i x="343" s="1" nd="1"/>
        <i x="39" s="1" nd="1"/>
        <i x="8" s="1" nd="1"/>
        <i x="190" s="1" nd="1"/>
        <i x="160" s="1" nd="1"/>
        <i x="68" s="1" nd="1"/>
        <i x="129" s="1" nd="1"/>
        <i x="313" s="1" nd="1"/>
        <i x="282" s="1" nd="1"/>
        <i x="252" s="1" nd="1"/>
        <i x="100" s="1" nd="1"/>
        <i x="222" s="1" nd="1"/>
        <i x="344" s="1" nd="1"/>
        <i x="40" s="1" nd="1"/>
        <i x="9" s="1" nd="1"/>
        <i x="191" s="1" nd="1"/>
        <i x="161" s="1" nd="1"/>
        <i x="69" s="1" nd="1"/>
        <i x="130" s="1" nd="1"/>
        <i x="314" s="1" nd="1"/>
        <i x="283" s="1" nd="1"/>
        <i x="253" s="1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nstitute_Name" sourceName="Institute Name">
  <pivotTables>
    <pivotTable tabId="11" name="PivotTable10"/>
    <pivotTable tabId="11" name="PivotTable11"/>
    <pivotTable tabId="11" name="PivotTable12"/>
    <pivotTable tabId="11" name="PivotTable15"/>
  </pivotTables>
  <data>
    <tabular pivotCacheId="1">
      <items count="4">
        <i x="1" s="1"/>
        <i x="0" s="1"/>
        <i x="2" s="1"/>
        <i x="3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Institute Name" cache="Slicer_Institute_Name" caption="Institute Name" style="SlicerStyleLight4" rowHeight="225425"/>
  <slicer name="Date" cache="Slicer_Date" caption="Date" startItem="6" style="SlicerStyleLight4" rowHeight="225425"/>
  <slicer name="Payment Method" cache="Slicer_Payment_Method" caption="Payment Method" style="SlicerStyleLight4" rowHeight="225425"/>
  <slicer name="Gateway" cache="Slicer_Gateway" caption="Gateway" style="SlicerStyleLight4" rowHeight="225425"/>
</slicers>
</file>

<file path=xl/tables/table1.xml><?xml version="1.0" encoding="utf-8"?>
<table xmlns="http://schemas.openxmlformats.org/spreadsheetml/2006/main" id="3" name="Table3" displayName="Table3" ref="A1:AE38" totalsRowShown="0">
  <autoFilter xmlns:etc="http://www.wps.cn/officeDocument/2017/etCustomData" ref="A1:AE38" etc:filterBottomFollowUsedRange="0"/>
  <tableColumns count="31">
    <tableColumn id="1" name="Sl.No" dataDxfId="4"/>
    <tableColumn id="2" name="Institute Name" dataDxfId="5"/>
    <tableColumn id="3" name="Date &amp; Time" dataDxfId="6"/>
    <tableColumn id="31" name="Date" dataDxfId="7">
      <calculatedColumnFormula>INT(C2)</calculatedColumnFormula>
    </tableColumn>
    <tableColumn id="4" name="Time" dataDxfId="8"/>
    <tableColumn id="5" name="Edviron order ID" dataDxfId="9"/>
    <tableColumn id="6" name="Order Amt" dataDxfId="10"/>
    <tableColumn id="7" name="Transaction Amt" dataDxfId="11"/>
    <tableColumn id="8" name="Payment Method" dataDxfId="12"/>
    <tableColumn id="9" name="payment_mode" dataDxfId="13"/>
    <tableColumn id="10" name="Status" dataDxfId="14"/>
    <tableColumn id="11" name="Student Name" dataDxfId="15"/>
    <tableColumn id="12" name="Phone No." dataDxfId="16"/>
    <tableColumn id="13" name="Vendor Amount" dataDxfId="17"/>
    <tableColumn id="14" name="Gateway" dataDxfId="18"/>
    <tableColumn id="15" name="Capture Status" dataDxfId="19">
      <calculatedColumnFormula>K2</calculatedColumnFormula>
    </tableColumn>
    <tableColumn id="16" name="Merchant Pricing" dataDxfId="20"/>
    <tableColumn id="17" name="Merchant Pricing Type" dataDxfId="21"/>
    <tableColumn id="18" name="Partner Pricing" dataDxfId="22"/>
    <tableColumn id="19" name="Partner Pricing Type" dataDxfId="23"/>
    <tableColumn id="20" name="Edviron Buying" dataDxfId="24"/>
    <tableColumn id="21" name="Edviron Buying type" dataDxfId="25"/>
    <tableColumn id="22" name="Merchant Pricing INR" dataDxfId="26">
      <calculatedColumnFormula>IF(Table3[[#This Row],[Merchant Pricing Type]]="FLAT",Table3[[#This Row],[Merchant Pricing]],Table3[[#This Row],[Transaction Amt]]*Table3[[#This Row],[Merchant Pricing]]/100)</calculatedColumnFormula>
    </tableColumn>
    <tableColumn id="23" name="Partner Pricing INR" dataDxfId="27">
      <calculatedColumnFormula>IF(Table3[[#This Row],[Partner Pricing Type]]="FLAT",Table3[[#This Row],[Partner Pricing]],Table3[[#This Row],[Transaction Amt]]*Table3[[#This Row],[Partner Pricing]]/100)</calculatedColumnFormula>
    </tableColumn>
    <tableColumn id="24" name="Edviron Buying INR" dataDxfId="28">
      <calculatedColumnFormula>IF(Table3[[#This Row],[Edviron Buying type]]="FLAT",Table3[[#This Row],[Edviron Buying]],Table3[[#This Row],[Transaction Amt]]*Table3[[#This Row],[Edviron Buying]]/100)</calculatedColumnFormula>
    </tableColumn>
    <tableColumn id="25" name="ERP Revenue" dataDxfId="29">
      <calculatedColumnFormula>W2-X2</calculatedColumnFormula>
    </tableColumn>
    <tableColumn id="26" name="Edviron Net Revenue" dataDxfId="30">
      <calculatedColumnFormula>X2-Y2</calculatedColumnFormula>
    </tableColumn>
    <tableColumn id="27" name="Edviron Gross Revenue" dataDxfId="31">
      <calculatedColumnFormula>Z2+AA2</calculatedColumnFormula>
    </tableColumn>
    <tableColumn id="28" name="Gateway Fee" dataDxfId="32">
      <calculatedColumnFormula>H2-N2</calculatedColumnFormula>
    </tableColumn>
    <tableColumn id="29" name="Amount Payable to ERP" dataDxfId="33">
      <calculatedColumnFormula>Z2</calculatedColumnFormula>
    </tableColumn>
    <tableColumn id="30" name="Amount Retained by Edviron" dataDxfId="34">
      <calculatedColumnFormula>AA2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J3:K5" totalsRowShown="0">
  <autoFilter xmlns:etc="http://www.wps.cn/officeDocument/2017/etCustomData" ref="J3:K5" etc:filterBottomFollowUsedRange="0"/>
  <tableColumns count="2">
    <tableColumn id="1" name="Type" dataDxfId="35"/>
    <tableColumn id="2" name="Value" dataDxfId="36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9.xml"/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9"/>
  <sheetViews>
    <sheetView workbookViewId="0">
      <selection activeCell="A1" sqref="$A1:$XFD1048576"/>
    </sheetView>
  </sheetViews>
  <sheetFormatPr defaultColWidth="8.88888888888889" defaultRowHeight="14.4"/>
  <sheetData>
    <row r="1" ht="40.35" spans="1:26">
      <c r="A1" s="55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15</v>
      </c>
      <c r="Q1" s="56" t="s">
        <v>16</v>
      </c>
      <c r="R1" s="56" t="s">
        <v>17</v>
      </c>
      <c r="S1" s="56" t="s">
        <v>18</v>
      </c>
      <c r="T1" s="56" t="s">
        <v>19</v>
      </c>
      <c r="U1" s="56" t="s">
        <v>20</v>
      </c>
      <c r="V1" s="58"/>
      <c r="W1" s="58"/>
      <c r="X1" s="58"/>
      <c r="Y1" s="58"/>
      <c r="Z1" s="58"/>
    </row>
    <row r="2" ht="106.35" spans="1:26">
      <c r="A2" s="57">
        <v>1</v>
      </c>
      <c r="B2" s="58" t="s">
        <v>21</v>
      </c>
      <c r="C2" s="57" t="s">
        <v>22</v>
      </c>
      <c r="D2" s="58" t="s">
        <v>23</v>
      </c>
      <c r="E2" s="58" t="s">
        <v>24</v>
      </c>
      <c r="F2" s="57">
        <v>3800</v>
      </c>
      <c r="G2" s="57">
        <v>3802.36</v>
      </c>
      <c r="H2" s="58" t="s">
        <v>25</v>
      </c>
      <c r="I2" s="58" t="s">
        <v>26</v>
      </c>
      <c r="J2" s="58" t="s">
        <v>27</v>
      </c>
      <c r="K2" s="58" t="s">
        <v>28</v>
      </c>
      <c r="L2" s="58"/>
      <c r="M2" s="58" t="s">
        <v>29</v>
      </c>
      <c r="N2" s="58" t="s">
        <v>30</v>
      </c>
      <c r="O2" s="58"/>
      <c r="P2" s="59">
        <v>2</v>
      </c>
      <c r="Q2" s="60" t="s">
        <v>31</v>
      </c>
      <c r="R2" s="59">
        <v>2</v>
      </c>
      <c r="S2" s="60" t="s">
        <v>31</v>
      </c>
      <c r="T2" s="57">
        <v>0</v>
      </c>
      <c r="U2" s="60" t="s">
        <v>31</v>
      </c>
      <c r="V2" s="58"/>
      <c r="W2" s="58"/>
      <c r="X2" s="58"/>
      <c r="Y2" s="58"/>
      <c r="Z2" s="58"/>
    </row>
    <row r="3" ht="53.55" spans="1:26">
      <c r="A3" s="57">
        <v>2</v>
      </c>
      <c r="B3" s="58" t="s">
        <v>32</v>
      </c>
      <c r="C3" s="57" t="s">
        <v>33</v>
      </c>
      <c r="D3" s="58" t="s">
        <v>34</v>
      </c>
      <c r="E3" s="58" t="s">
        <v>35</v>
      </c>
      <c r="F3" s="57">
        <v>15000</v>
      </c>
      <c r="G3" s="57">
        <v>15002.36</v>
      </c>
      <c r="H3" s="58" t="s">
        <v>25</v>
      </c>
      <c r="I3" s="58" t="s">
        <v>26</v>
      </c>
      <c r="J3" s="58" t="s">
        <v>27</v>
      </c>
      <c r="K3" s="61" t="s">
        <v>36</v>
      </c>
      <c r="L3" s="58"/>
      <c r="M3" s="58" t="s">
        <v>29</v>
      </c>
      <c r="N3" s="58" t="s">
        <v>30</v>
      </c>
      <c r="O3" s="58"/>
      <c r="P3" s="59">
        <v>2</v>
      </c>
      <c r="Q3" s="60" t="s">
        <v>31</v>
      </c>
      <c r="R3" s="59">
        <v>2</v>
      </c>
      <c r="S3" s="60" t="s">
        <v>31</v>
      </c>
      <c r="T3" s="57">
        <v>0</v>
      </c>
      <c r="U3" s="60" t="s">
        <v>31</v>
      </c>
      <c r="V3" s="58"/>
      <c r="W3" s="58"/>
      <c r="X3" s="58"/>
      <c r="Y3" s="58"/>
      <c r="Z3" s="58"/>
    </row>
    <row r="4" ht="53.55" spans="1:26">
      <c r="A4" s="57">
        <v>3</v>
      </c>
      <c r="B4" s="58" t="s">
        <v>32</v>
      </c>
      <c r="C4" s="58" t="s">
        <v>37</v>
      </c>
      <c r="D4" s="58" t="s">
        <v>38</v>
      </c>
      <c r="E4" s="58" t="s">
        <v>39</v>
      </c>
      <c r="F4" s="57">
        <v>10000</v>
      </c>
      <c r="G4" s="57">
        <v>10002.36</v>
      </c>
      <c r="H4" s="58" t="s">
        <v>25</v>
      </c>
      <c r="I4" s="58" t="s">
        <v>26</v>
      </c>
      <c r="J4" s="58" t="s">
        <v>27</v>
      </c>
      <c r="K4" s="61" t="s">
        <v>40</v>
      </c>
      <c r="L4" s="58"/>
      <c r="M4" s="58" t="s">
        <v>29</v>
      </c>
      <c r="N4" s="58" t="s">
        <v>30</v>
      </c>
      <c r="O4" s="58"/>
      <c r="P4" s="59">
        <v>2</v>
      </c>
      <c r="Q4" s="60" t="s">
        <v>31</v>
      </c>
      <c r="R4" s="59">
        <v>2</v>
      </c>
      <c r="S4" s="60" t="s">
        <v>31</v>
      </c>
      <c r="T4" s="57">
        <v>0</v>
      </c>
      <c r="U4" s="60" t="s">
        <v>31</v>
      </c>
      <c r="V4" s="58"/>
      <c r="W4" s="58"/>
      <c r="X4" s="58"/>
      <c r="Y4" s="58"/>
      <c r="Z4" s="58"/>
    </row>
    <row r="5" ht="53.55" spans="1:26">
      <c r="A5" s="57">
        <v>4</v>
      </c>
      <c r="B5" s="58" t="s">
        <v>32</v>
      </c>
      <c r="C5" s="58" t="s">
        <v>41</v>
      </c>
      <c r="D5" s="58" t="s">
        <v>42</v>
      </c>
      <c r="E5" s="58" t="s">
        <v>43</v>
      </c>
      <c r="F5" s="57">
        <v>5000</v>
      </c>
      <c r="G5" s="57">
        <v>5002.36</v>
      </c>
      <c r="H5" s="58" t="s">
        <v>25</v>
      </c>
      <c r="I5" s="58" t="s">
        <v>26</v>
      </c>
      <c r="J5" s="58" t="s">
        <v>27</v>
      </c>
      <c r="K5" s="61" t="s">
        <v>44</v>
      </c>
      <c r="L5" s="58"/>
      <c r="M5" s="58" t="s">
        <v>29</v>
      </c>
      <c r="N5" s="58" t="s">
        <v>30</v>
      </c>
      <c r="O5" s="58"/>
      <c r="P5" s="59">
        <v>2</v>
      </c>
      <c r="Q5" s="60" t="s">
        <v>31</v>
      </c>
      <c r="R5" s="59">
        <v>2</v>
      </c>
      <c r="S5" s="60" t="s">
        <v>31</v>
      </c>
      <c r="T5" s="57">
        <v>0</v>
      </c>
      <c r="U5" s="60" t="s">
        <v>31</v>
      </c>
      <c r="V5" s="58"/>
      <c r="W5" s="58"/>
      <c r="X5" s="58"/>
      <c r="Y5" s="58"/>
      <c r="Z5" s="58"/>
    </row>
    <row r="6" ht="53.55" spans="1:26">
      <c r="A6" s="57">
        <v>5</v>
      </c>
      <c r="B6" s="58" t="s">
        <v>32</v>
      </c>
      <c r="C6" s="58" t="s">
        <v>45</v>
      </c>
      <c r="D6" s="58" t="s">
        <v>46</v>
      </c>
      <c r="E6" s="58" t="s">
        <v>47</v>
      </c>
      <c r="F6" s="57">
        <v>5000</v>
      </c>
      <c r="G6" s="57">
        <v>5002.36</v>
      </c>
      <c r="H6" s="58" t="s">
        <v>25</v>
      </c>
      <c r="I6" s="58" t="s">
        <v>26</v>
      </c>
      <c r="J6" s="58" t="s">
        <v>27</v>
      </c>
      <c r="K6" s="61" t="s">
        <v>48</v>
      </c>
      <c r="L6" s="58"/>
      <c r="M6" s="58" t="s">
        <v>29</v>
      </c>
      <c r="N6" s="58" t="s">
        <v>30</v>
      </c>
      <c r="O6" s="58"/>
      <c r="P6" s="59">
        <v>2</v>
      </c>
      <c r="Q6" s="60" t="s">
        <v>31</v>
      </c>
      <c r="R6" s="59">
        <v>2</v>
      </c>
      <c r="S6" s="60" t="s">
        <v>31</v>
      </c>
      <c r="T6" s="57">
        <v>0</v>
      </c>
      <c r="U6" s="60" t="s">
        <v>31</v>
      </c>
      <c r="V6" s="58"/>
      <c r="W6" s="58"/>
      <c r="X6" s="58"/>
      <c r="Y6" s="58"/>
      <c r="Z6" s="58"/>
    </row>
    <row r="7" ht="53.55" spans="1:26">
      <c r="A7" s="57">
        <v>6</v>
      </c>
      <c r="B7" s="58" t="s">
        <v>32</v>
      </c>
      <c r="C7" s="58" t="s">
        <v>49</v>
      </c>
      <c r="D7" s="58" t="s">
        <v>50</v>
      </c>
      <c r="E7" s="58" t="s">
        <v>51</v>
      </c>
      <c r="F7" s="57">
        <v>10000</v>
      </c>
      <c r="G7" s="57">
        <v>10002.36</v>
      </c>
      <c r="H7" s="58" t="s">
        <v>25</v>
      </c>
      <c r="I7" s="58" t="s">
        <v>26</v>
      </c>
      <c r="J7" s="58" t="s">
        <v>27</v>
      </c>
      <c r="K7" s="61" t="s">
        <v>52</v>
      </c>
      <c r="L7" s="58"/>
      <c r="M7" s="58" t="s">
        <v>29</v>
      </c>
      <c r="N7" s="58" t="s">
        <v>30</v>
      </c>
      <c r="O7" s="58"/>
      <c r="P7" s="59">
        <v>2</v>
      </c>
      <c r="Q7" s="60" t="s">
        <v>31</v>
      </c>
      <c r="R7" s="59">
        <v>2</v>
      </c>
      <c r="S7" s="60" t="s">
        <v>31</v>
      </c>
      <c r="T7" s="57">
        <v>0</v>
      </c>
      <c r="U7" s="60" t="s">
        <v>31</v>
      </c>
      <c r="V7" s="58"/>
      <c r="W7" s="58"/>
      <c r="X7" s="58"/>
      <c r="Y7" s="58"/>
      <c r="Z7" s="58"/>
    </row>
    <row r="8" ht="53.55" spans="1:26">
      <c r="A8" s="57">
        <v>7</v>
      </c>
      <c r="B8" s="58" t="s">
        <v>32</v>
      </c>
      <c r="C8" s="58" t="s">
        <v>53</v>
      </c>
      <c r="D8" s="58" t="s">
        <v>54</v>
      </c>
      <c r="E8" s="58" t="s">
        <v>55</v>
      </c>
      <c r="F8" s="57">
        <v>18836</v>
      </c>
      <c r="G8" s="57">
        <v>18838.36</v>
      </c>
      <c r="H8" s="58" t="s">
        <v>25</v>
      </c>
      <c r="I8" s="58" t="s">
        <v>26</v>
      </c>
      <c r="J8" s="58" t="s">
        <v>27</v>
      </c>
      <c r="K8" s="61" t="s">
        <v>56</v>
      </c>
      <c r="L8" s="58"/>
      <c r="M8" s="58" t="s">
        <v>29</v>
      </c>
      <c r="N8" s="58" t="s">
        <v>30</v>
      </c>
      <c r="O8" s="58"/>
      <c r="P8" s="59">
        <v>2</v>
      </c>
      <c r="Q8" s="60" t="s">
        <v>31</v>
      </c>
      <c r="R8" s="59">
        <v>2</v>
      </c>
      <c r="S8" s="60" t="s">
        <v>31</v>
      </c>
      <c r="T8" s="57">
        <v>0</v>
      </c>
      <c r="U8" s="60" t="s">
        <v>31</v>
      </c>
      <c r="V8" s="58"/>
      <c r="W8" s="58"/>
      <c r="X8" s="58"/>
      <c r="Y8" s="58"/>
      <c r="Z8" s="58"/>
    </row>
    <row r="9" ht="59.1" customHeight="1" spans="1:26">
      <c r="A9" s="59">
        <v>1</v>
      </c>
      <c r="B9" s="60" t="s">
        <v>32</v>
      </c>
      <c r="C9" s="60" t="s">
        <v>57</v>
      </c>
      <c r="D9" s="60" t="s">
        <v>58</v>
      </c>
      <c r="E9" s="60" t="s">
        <v>59</v>
      </c>
      <c r="F9" s="59">
        <v>10576</v>
      </c>
      <c r="G9" s="59">
        <v>10578.36</v>
      </c>
      <c r="H9" s="60" t="s">
        <v>25</v>
      </c>
      <c r="I9" s="60" t="s">
        <v>60</v>
      </c>
      <c r="J9" s="60" t="s">
        <v>27</v>
      </c>
      <c r="K9" s="60" t="s">
        <v>61</v>
      </c>
      <c r="L9" s="60"/>
      <c r="M9" s="60" t="s">
        <v>29</v>
      </c>
      <c r="N9" s="60" t="s">
        <v>30</v>
      </c>
      <c r="O9" s="60"/>
      <c r="P9" s="59">
        <v>2</v>
      </c>
      <c r="Q9" s="60" t="s">
        <v>31</v>
      </c>
      <c r="R9" s="59">
        <v>2</v>
      </c>
      <c r="S9" s="60" t="s">
        <v>31</v>
      </c>
      <c r="T9" s="57">
        <v>0</v>
      </c>
      <c r="U9" s="60" t="s">
        <v>31</v>
      </c>
      <c r="V9" s="58"/>
      <c r="W9" s="58"/>
      <c r="X9" s="58"/>
      <c r="Y9" s="58"/>
      <c r="Z9" s="58"/>
    </row>
    <row r="10" ht="59.1" customHeight="1" spans="1:26">
      <c r="A10" s="59">
        <v>2</v>
      </c>
      <c r="B10" s="60" t="s">
        <v>32</v>
      </c>
      <c r="C10" s="59" t="s">
        <v>62</v>
      </c>
      <c r="D10" s="60" t="s">
        <v>63</v>
      </c>
      <c r="E10" s="60" t="s">
        <v>64</v>
      </c>
      <c r="F10" s="59">
        <v>1</v>
      </c>
      <c r="G10" s="59">
        <v>3.36</v>
      </c>
      <c r="H10" s="60" t="s">
        <v>25</v>
      </c>
      <c r="I10" s="60" t="s">
        <v>60</v>
      </c>
      <c r="J10" s="60" t="s">
        <v>27</v>
      </c>
      <c r="K10" s="60" t="s">
        <v>65</v>
      </c>
      <c r="L10" s="60"/>
      <c r="M10" s="60" t="s">
        <v>29</v>
      </c>
      <c r="N10" s="60" t="s">
        <v>30</v>
      </c>
      <c r="O10" s="60"/>
      <c r="P10" s="59">
        <v>2</v>
      </c>
      <c r="Q10" s="60" t="s">
        <v>31</v>
      </c>
      <c r="R10" s="59">
        <v>2</v>
      </c>
      <c r="S10" s="60" t="s">
        <v>31</v>
      </c>
      <c r="T10" s="57">
        <v>0</v>
      </c>
      <c r="U10" s="60" t="s">
        <v>31</v>
      </c>
      <c r="V10" s="58"/>
      <c r="W10" s="58"/>
      <c r="X10" s="58"/>
      <c r="Y10" s="58"/>
      <c r="Z10" s="58"/>
    </row>
    <row r="11" ht="73.5" customHeight="1" spans="1:26">
      <c r="A11" s="59">
        <v>6</v>
      </c>
      <c r="B11" s="60" t="s">
        <v>66</v>
      </c>
      <c r="C11" s="60" t="s">
        <v>67</v>
      </c>
      <c r="D11" s="60" t="s">
        <v>68</v>
      </c>
      <c r="E11" s="60" t="s">
        <v>69</v>
      </c>
      <c r="F11" s="59">
        <v>34325</v>
      </c>
      <c r="G11" s="59">
        <v>34327.36</v>
      </c>
      <c r="H11" s="60" t="s">
        <v>25</v>
      </c>
      <c r="I11" s="60" t="s">
        <v>60</v>
      </c>
      <c r="J11" s="60" t="s">
        <v>27</v>
      </c>
      <c r="K11" s="60" t="s">
        <v>70</v>
      </c>
      <c r="L11" s="60"/>
      <c r="M11" s="60" t="s">
        <v>29</v>
      </c>
      <c r="N11" s="60" t="s">
        <v>71</v>
      </c>
      <c r="O11" s="60"/>
      <c r="P11" s="59">
        <v>2</v>
      </c>
      <c r="Q11" s="60" t="s">
        <v>31</v>
      </c>
      <c r="R11" s="59">
        <v>2</v>
      </c>
      <c r="S11" s="60" t="s">
        <v>31</v>
      </c>
      <c r="T11" s="57">
        <v>0</v>
      </c>
      <c r="U11" s="60" t="s">
        <v>31</v>
      </c>
      <c r="V11" s="58"/>
      <c r="W11" s="58"/>
      <c r="X11" s="58"/>
      <c r="Y11" s="58"/>
      <c r="Z11" s="58"/>
    </row>
    <row r="12" ht="73.5" customHeight="1" spans="1:26">
      <c r="A12" s="59">
        <v>8</v>
      </c>
      <c r="B12" s="60" t="s">
        <v>66</v>
      </c>
      <c r="C12" s="60" t="s">
        <v>72</v>
      </c>
      <c r="D12" s="60" t="s">
        <v>73</v>
      </c>
      <c r="E12" s="60" t="s">
        <v>74</v>
      </c>
      <c r="F12" s="59">
        <v>38100</v>
      </c>
      <c r="G12" s="59">
        <v>38102.36</v>
      </c>
      <c r="H12" s="60" t="s">
        <v>25</v>
      </c>
      <c r="I12" s="60" t="s">
        <v>60</v>
      </c>
      <c r="J12" s="60" t="s">
        <v>27</v>
      </c>
      <c r="K12" s="60" t="s">
        <v>75</v>
      </c>
      <c r="L12" s="60"/>
      <c r="M12" s="60" t="s">
        <v>29</v>
      </c>
      <c r="N12" s="60" t="s">
        <v>71</v>
      </c>
      <c r="O12" s="60"/>
      <c r="P12" s="59">
        <v>2</v>
      </c>
      <c r="Q12" s="60" t="s">
        <v>31</v>
      </c>
      <c r="R12" s="59">
        <v>2</v>
      </c>
      <c r="S12" s="60" t="s">
        <v>31</v>
      </c>
      <c r="T12" s="57">
        <v>0</v>
      </c>
      <c r="U12" s="60" t="s">
        <v>31</v>
      </c>
      <c r="V12" s="58"/>
      <c r="W12" s="58"/>
      <c r="X12" s="58"/>
      <c r="Y12" s="58"/>
      <c r="Z12" s="58"/>
    </row>
    <row r="13" ht="73.5" customHeight="1" spans="1:26">
      <c r="A13" s="59">
        <v>1</v>
      </c>
      <c r="B13" s="60" t="s">
        <v>66</v>
      </c>
      <c r="C13" s="59" t="s">
        <v>76</v>
      </c>
      <c r="D13" s="60" t="s">
        <v>77</v>
      </c>
      <c r="E13" s="60" t="s">
        <v>78</v>
      </c>
      <c r="F13" s="59">
        <v>10350</v>
      </c>
      <c r="G13" s="59">
        <v>10352.36</v>
      </c>
      <c r="H13" s="60" t="s">
        <v>25</v>
      </c>
      <c r="I13" s="60" t="s">
        <v>79</v>
      </c>
      <c r="J13" s="60" t="s">
        <v>27</v>
      </c>
      <c r="K13" s="60" t="s">
        <v>80</v>
      </c>
      <c r="L13" s="60"/>
      <c r="M13" s="60" t="s">
        <v>29</v>
      </c>
      <c r="N13" s="60" t="s">
        <v>71</v>
      </c>
      <c r="O13" s="60"/>
      <c r="P13" s="59">
        <v>2</v>
      </c>
      <c r="Q13" s="60" t="s">
        <v>31</v>
      </c>
      <c r="R13" s="59">
        <v>2</v>
      </c>
      <c r="S13" s="60" t="s">
        <v>31</v>
      </c>
      <c r="T13" s="57">
        <v>0</v>
      </c>
      <c r="U13" s="60" t="s">
        <v>31</v>
      </c>
      <c r="V13" s="58"/>
      <c r="W13" s="58"/>
      <c r="X13" s="58"/>
      <c r="Y13" s="58"/>
      <c r="Z13" s="58"/>
    </row>
    <row r="14" ht="73.5" customHeight="1" spans="1:26">
      <c r="A14" s="59">
        <v>2</v>
      </c>
      <c r="B14" s="60" t="s">
        <v>66</v>
      </c>
      <c r="C14" s="59" t="s">
        <v>81</v>
      </c>
      <c r="D14" s="60" t="s">
        <v>82</v>
      </c>
      <c r="E14" s="60" t="s">
        <v>83</v>
      </c>
      <c r="F14" s="59">
        <v>10950</v>
      </c>
      <c r="G14" s="59">
        <v>10952.36</v>
      </c>
      <c r="H14" s="60" t="s">
        <v>25</v>
      </c>
      <c r="I14" s="60" t="s">
        <v>60</v>
      </c>
      <c r="J14" s="60" t="s">
        <v>27</v>
      </c>
      <c r="K14" s="60" t="s">
        <v>84</v>
      </c>
      <c r="L14" s="60"/>
      <c r="M14" s="60" t="s">
        <v>29</v>
      </c>
      <c r="N14" s="60" t="s">
        <v>71</v>
      </c>
      <c r="O14" s="60"/>
      <c r="P14" s="59">
        <v>2</v>
      </c>
      <c r="Q14" s="60" t="s">
        <v>31</v>
      </c>
      <c r="R14" s="59">
        <v>2</v>
      </c>
      <c r="S14" s="60" t="s">
        <v>31</v>
      </c>
      <c r="T14" s="57">
        <v>0</v>
      </c>
      <c r="U14" s="60" t="s">
        <v>31</v>
      </c>
      <c r="V14" s="58"/>
      <c r="W14" s="58"/>
      <c r="X14" s="58"/>
      <c r="Y14" s="58"/>
      <c r="Z14" s="58"/>
    </row>
    <row r="15" ht="73.5" customHeight="1" spans="1:26">
      <c r="A15" s="59">
        <v>3</v>
      </c>
      <c r="B15" s="60" t="s">
        <v>66</v>
      </c>
      <c r="C15" s="59" t="s">
        <v>85</v>
      </c>
      <c r="D15" s="60" t="s">
        <v>86</v>
      </c>
      <c r="E15" s="60" t="s">
        <v>87</v>
      </c>
      <c r="F15" s="59">
        <v>10350</v>
      </c>
      <c r="G15" s="59">
        <v>10352.36</v>
      </c>
      <c r="H15" s="60" t="s">
        <v>25</v>
      </c>
      <c r="I15" s="60" t="s">
        <v>60</v>
      </c>
      <c r="J15" s="60" t="s">
        <v>27</v>
      </c>
      <c r="K15" s="60" t="s">
        <v>88</v>
      </c>
      <c r="L15" s="60"/>
      <c r="M15" s="60" t="s">
        <v>29</v>
      </c>
      <c r="N15" s="60" t="s">
        <v>71</v>
      </c>
      <c r="O15" s="60"/>
      <c r="P15" s="59">
        <v>2</v>
      </c>
      <c r="Q15" s="60" t="s">
        <v>31</v>
      </c>
      <c r="R15" s="59">
        <v>2</v>
      </c>
      <c r="S15" s="60" t="s">
        <v>31</v>
      </c>
      <c r="T15" s="57">
        <v>0</v>
      </c>
      <c r="U15" s="60" t="s">
        <v>31</v>
      </c>
      <c r="V15" s="58"/>
      <c r="W15" s="58"/>
      <c r="X15" s="58"/>
      <c r="Y15" s="58"/>
      <c r="Z15" s="58"/>
    </row>
    <row r="16" ht="73.5" customHeight="1" spans="1:26">
      <c r="A16" s="59">
        <v>4</v>
      </c>
      <c r="B16" s="60" t="s">
        <v>66</v>
      </c>
      <c r="C16" s="59" t="s">
        <v>89</v>
      </c>
      <c r="D16" s="60" t="s">
        <v>90</v>
      </c>
      <c r="E16" s="60" t="s">
        <v>91</v>
      </c>
      <c r="F16" s="59">
        <v>10950</v>
      </c>
      <c r="G16" s="59">
        <v>10952.36</v>
      </c>
      <c r="H16" s="60" t="s">
        <v>25</v>
      </c>
      <c r="I16" s="60" t="s">
        <v>79</v>
      </c>
      <c r="J16" s="60" t="s">
        <v>27</v>
      </c>
      <c r="K16" s="60" t="s">
        <v>92</v>
      </c>
      <c r="L16" s="60"/>
      <c r="M16" s="60" t="s">
        <v>29</v>
      </c>
      <c r="N16" s="60" t="s">
        <v>71</v>
      </c>
      <c r="O16" s="60"/>
      <c r="P16" s="59">
        <v>2</v>
      </c>
      <c r="Q16" s="60" t="s">
        <v>31</v>
      </c>
      <c r="R16" s="59">
        <v>2</v>
      </c>
      <c r="S16" s="60" t="s">
        <v>31</v>
      </c>
      <c r="T16" s="57">
        <v>0</v>
      </c>
      <c r="U16" s="60" t="s">
        <v>31</v>
      </c>
      <c r="V16" s="58"/>
      <c r="W16" s="58"/>
      <c r="X16" s="58"/>
      <c r="Y16" s="58"/>
      <c r="Z16" s="58"/>
    </row>
    <row r="17" ht="73.5" customHeight="1" spans="1:26">
      <c r="A17" s="59">
        <v>5</v>
      </c>
      <c r="B17" s="60" t="s">
        <v>66</v>
      </c>
      <c r="C17" s="59" t="s">
        <v>93</v>
      </c>
      <c r="D17" s="60" t="s">
        <v>94</v>
      </c>
      <c r="E17" s="60" t="s">
        <v>95</v>
      </c>
      <c r="F17" s="59">
        <v>74150</v>
      </c>
      <c r="G17" s="59">
        <v>74152.36</v>
      </c>
      <c r="H17" s="60" t="s">
        <v>25</v>
      </c>
      <c r="I17" s="60" t="s">
        <v>60</v>
      </c>
      <c r="J17" s="60" t="s">
        <v>27</v>
      </c>
      <c r="K17" s="60" t="s">
        <v>96</v>
      </c>
      <c r="L17" s="60"/>
      <c r="M17" s="60" t="s">
        <v>29</v>
      </c>
      <c r="N17" s="60" t="s">
        <v>71</v>
      </c>
      <c r="O17" s="60"/>
      <c r="P17" s="59">
        <v>2</v>
      </c>
      <c r="Q17" s="60" t="s">
        <v>31</v>
      </c>
      <c r="R17" s="59">
        <v>2</v>
      </c>
      <c r="S17" s="60" t="s">
        <v>31</v>
      </c>
      <c r="T17" s="57">
        <v>0</v>
      </c>
      <c r="U17" s="60" t="s">
        <v>31</v>
      </c>
      <c r="V17" s="58"/>
      <c r="W17" s="58"/>
      <c r="X17" s="58"/>
      <c r="Y17" s="58"/>
      <c r="Z17" s="58"/>
    </row>
    <row r="18" ht="73.5" customHeight="1" spans="1:26">
      <c r="A18" s="59">
        <v>6</v>
      </c>
      <c r="B18" s="60" t="s">
        <v>66</v>
      </c>
      <c r="C18" s="59" t="s">
        <v>97</v>
      </c>
      <c r="D18" s="60" t="s">
        <v>98</v>
      </c>
      <c r="E18" s="60" t="s">
        <v>99</v>
      </c>
      <c r="F18" s="59">
        <v>10350</v>
      </c>
      <c r="G18" s="59">
        <v>10352.36</v>
      </c>
      <c r="H18" s="60" t="s">
        <v>25</v>
      </c>
      <c r="I18" s="60" t="s">
        <v>79</v>
      </c>
      <c r="J18" s="60" t="s">
        <v>27</v>
      </c>
      <c r="K18" s="60" t="s">
        <v>100</v>
      </c>
      <c r="L18" s="60"/>
      <c r="M18" s="60" t="s">
        <v>29</v>
      </c>
      <c r="N18" s="60" t="s">
        <v>71</v>
      </c>
      <c r="O18" s="60"/>
      <c r="P18" s="59">
        <v>2</v>
      </c>
      <c r="Q18" s="60" t="s">
        <v>31</v>
      </c>
      <c r="R18" s="59">
        <v>2</v>
      </c>
      <c r="S18" s="60" t="s">
        <v>31</v>
      </c>
      <c r="T18" s="57">
        <v>0</v>
      </c>
      <c r="U18" s="60" t="s">
        <v>31</v>
      </c>
      <c r="V18" s="58"/>
      <c r="W18" s="58"/>
      <c r="X18" s="58"/>
      <c r="Y18" s="58"/>
      <c r="Z18" s="58"/>
    </row>
    <row r="19" ht="73.5" customHeight="1" spans="1:26">
      <c r="A19" s="59">
        <v>7</v>
      </c>
      <c r="B19" s="60" t="s">
        <v>66</v>
      </c>
      <c r="C19" s="59" t="s">
        <v>101</v>
      </c>
      <c r="D19" s="60" t="s">
        <v>102</v>
      </c>
      <c r="E19" s="60" t="s">
        <v>103</v>
      </c>
      <c r="F19" s="59">
        <v>10350</v>
      </c>
      <c r="G19" s="59">
        <v>10352.36</v>
      </c>
      <c r="H19" s="60" t="s">
        <v>25</v>
      </c>
      <c r="I19" s="60" t="s">
        <v>60</v>
      </c>
      <c r="J19" s="60" t="s">
        <v>27</v>
      </c>
      <c r="K19" s="60" t="s">
        <v>104</v>
      </c>
      <c r="L19" s="60"/>
      <c r="M19" s="60" t="s">
        <v>29</v>
      </c>
      <c r="N19" s="60" t="s">
        <v>71</v>
      </c>
      <c r="O19" s="60"/>
      <c r="P19" s="59">
        <v>2</v>
      </c>
      <c r="Q19" s="60" t="s">
        <v>31</v>
      </c>
      <c r="R19" s="59">
        <v>2</v>
      </c>
      <c r="S19" s="60" t="s">
        <v>31</v>
      </c>
      <c r="T19" s="57">
        <v>0</v>
      </c>
      <c r="U19" s="60" t="s">
        <v>31</v>
      </c>
      <c r="V19" s="58"/>
      <c r="W19" s="58"/>
      <c r="X19" s="58"/>
      <c r="Y19" s="58"/>
      <c r="Z19" s="58"/>
    </row>
    <row r="20" ht="73.5" customHeight="1" spans="1:26">
      <c r="A20" s="59">
        <v>8</v>
      </c>
      <c r="B20" s="60" t="s">
        <v>66</v>
      </c>
      <c r="C20" s="59" t="s">
        <v>105</v>
      </c>
      <c r="D20" s="60" t="s">
        <v>106</v>
      </c>
      <c r="E20" s="60" t="s">
        <v>107</v>
      </c>
      <c r="F20" s="59">
        <v>34325</v>
      </c>
      <c r="G20" s="59">
        <v>34327.36</v>
      </c>
      <c r="H20" s="60" t="s">
        <v>25</v>
      </c>
      <c r="I20" s="60" t="s">
        <v>79</v>
      </c>
      <c r="J20" s="60" t="s">
        <v>27</v>
      </c>
      <c r="K20" s="60" t="s">
        <v>108</v>
      </c>
      <c r="L20" s="60"/>
      <c r="M20" s="60" t="s">
        <v>29</v>
      </c>
      <c r="N20" s="60" t="s">
        <v>71</v>
      </c>
      <c r="O20" s="60"/>
      <c r="P20" s="59">
        <v>2</v>
      </c>
      <c r="Q20" s="60" t="s">
        <v>31</v>
      </c>
      <c r="R20" s="59">
        <v>2</v>
      </c>
      <c r="S20" s="60" t="s">
        <v>31</v>
      </c>
      <c r="T20" s="57">
        <v>0</v>
      </c>
      <c r="U20" s="60" t="s">
        <v>31</v>
      </c>
      <c r="V20" s="58"/>
      <c r="W20" s="58"/>
      <c r="X20" s="58"/>
      <c r="Y20" s="58"/>
      <c r="Z20" s="58"/>
    </row>
    <row r="21" ht="73.5" customHeight="1" spans="1:26">
      <c r="A21" s="59">
        <v>9</v>
      </c>
      <c r="B21" s="60" t="s">
        <v>66</v>
      </c>
      <c r="C21" s="59" t="s">
        <v>109</v>
      </c>
      <c r="D21" s="60" t="s">
        <v>110</v>
      </c>
      <c r="E21" s="60" t="s">
        <v>111</v>
      </c>
      <c r="F21" s="59">
        <v>10950</v>
      </c>
      <c r="G21" s="59">
        <v>10952.36</v>
      </c>
      <c r="H21" s="60" t="s">
        <v>25</v>
      </c>
      <c r="I21" s="60" t="s">
        <v>60</v>
      </c>
      <c r="J21" s="60" t="s">
        <v>27</v>
      </c>
      <c r="K21" s="60" t="s">
        <v>112</v>
      </c>
      <c r="L21" s="60"/>
      <c r="M21" s="60" t="s">
        <v>29</v>
      </c>
      <c r="N21" s="60" t="s">
        <v>71</v>
      </c>
      <c r="O21" s="60"/>
      <c r="P21" s="59">
        <v>2</v>
      </c>
      <c r="Q21" s="60" t="s">
        <v>31</v>
      </c>
      <c r="R21" s="59">
        <v>2</v>
      </c>
      <c r="S21" s="60" t="s">
        <v>31</v>
      </c>
      <c r="T21" s="57">
        <v>0</v>
      </c>
      <c r="U21" s="60" t="s">
        <v>31</v>
      </c>
      <c r="V21" s="58"/>
      <c r="W21" s="58"/>
      <c r="X21" s="58"/>
      <c r="Y21" s="58"/>
      <c r="Z21" s="58"/>
    </row>
    <row r="22" ht="73.5" customHeight="1" spans="1:26">
      <c r="A22" s="59">
        <v>10</v>
      </c>
      <c r="B22" s="60" t="s">
        <v>66</v>
      </c>
      <c r="C22" s="59" t="s">
        <v>113</v>
      </c>
      <c r="D22" s="60" t="s">
        <v>114</v>
      </c>
      <c r="E22" s="60" t="s">
        <v>115</v>
      </c>
      <c r="F22" s="59">
        <v>10350</v>
      </c>
      <c r="G22" s="59">
        <v>10352.36</v>
      </c>
      <c r="H22" s="60" t="s">
        <v>25</v>
      </c>
      <c r="I22" s="60" t="s">
        <v>79</v>
      </c>
      <c r="J22" s="60" t="s">
        <v>27</v>
      </c>
      <c r="K22" s="60" t="s">
        <v>116</v>
      </c>
      <c r="L22" s="60"/>
      <c r="M22" s="60" t="s">
        <v>29</v>
      </c>
      <c r="N22" s="60" t="s">
        <v>71</v>
      </c>
      <c r="O22" s="60"/>
      <c r="P22" s="59">
        <v>2</v>
      </c>
      <c r="Q22" s="60" t="s">
        <v>31</v>
      </c>
      <c r="R22" s="59">
        <v>2</v>
      </c>
      <c r="S22" s="60" t="s">
        <v>31</v>
      </c>
      <c r="T22" s="57">
        <v>0</v>
      </c>
      <c r="U22" s="60" t="s">
        <v>31</v>
      </c>
      <c r="V22" s="58"/>
      <c r="W22" s="58"/>
      <c r="X22" s="58"/>
      <c r="Y22" s="58"/>
      <c r="Z22" s="58"/>
    </row>
    <row r="23" ht="73.5" customHeight="1" spans="1:26">
      <c r="A23" s="59">
        <v>12</v>
      </c>
      <c r="B23" s="60" t="s">
        <v>66</v>
      </c>
      <c r="C23" s="59" t="s">
        <v>117</v>
      </c>
      <c r="D23" s="60" t="s">
        <v>118</v>
      </c>
      <c r="E23" s="60" t="s">
        <v>119</v>
      </c>
      <c r="F23" s="59">
        <v>34325</v>
      </c>
      <c r="G23" s="59">
        <v>34327.36</v>
      </c>
      <c r="H23" s="60" t="s">
        <v>25</v>
      </c>
      <c r="I23" s="60" t="s">
        <v>79</v>
      </c>
      <c r="J23" s="60" t="s">
        <v>27</v>
      </c>
      <c r="K23" s="60" t="s">
        <v>120</v>
      </c>
      <c r="L23" s="60"/>
      <c r="M23" s="60" t="s">
        <v>29</v>
      </c>
      <c r="N23" s="60" t="s">
        <v>71</v>
      </c>
      <c r="O23" s="60"/>
      <c r="P23" s="59">
        <v>2</v>
      </c>
      <c r="Q23" s="60" t="s">
        <v>31</v>
      </c>
      <c r="R23" s="59">
        <v>2</v>
      </c>
      <c r="S23" s="60" t="s">
        <v>31</v>
      </c>
      <c r="T23" s="57">
        <v>0</v>
      </c>
      <c r="U23" s="60" t="s">
        <v>31</v>
      </c>
      <c r="V23" s="58"/>
      <c r="W23" s="58"/>
      <c r="X23" s="58"/>
      <c r="Y23" s="58"/>
      <c r="Z23" s="58"/>
    </row>
    <row r="24" ht="73.5" customHeight="1" spans="1:26">
      <c r="A24" s="59">
        <v>13</v>
      </c>
      <c r="B24" s="60" t="s">
        <v>66</v>
      </c>
      <c r="C24" s="59" t="s">
        <v>121</v>
      </c>
      <c r="D24" s="60" t="s">
        <v>122</v>
      </c>
      <c r="E24" s="60" t="s">
        <v>123</v>
      </c>
      <c r="F24" s="59">
        <v>10950</v>
      </c>
      <c r="G24" s="59">
        <v>10952.36</v>
      </c>
      <c r="H24" s="60" t="s">
        <v>25</v>
      </c>
      <c r="I24" s="60" t="s">
        <v>79</v>
      </c>
      <c r="J24" s="60" t="s">
        <v>27</v>
      </c>
      <c r="K24" s="60" t="s">
        <v>124</v>
      </c>
      <c r="L24" s="60"/>
      <c r="M24" s="60" t="s">
        <v>29</v>
      </c>
      <c r="N24" s="60" t="s">
        <v>71</v>
      </c>
      <c r="O24" s="60"/>
      <c r="P24" s="59">
        <v>2</v>
      </c>
      <c r="Q24" s="60" t="s">
        <v>31</v>
      </c>
      <c r="R24" s="59">
        <v>2</v>
      </c>
      <c r="S24" s="60" t="s">
        <v>31</v>
      </c>
      <c r="T24" s="57">
        <v>0</v>
      </c>
      <c r="U24" s="60" t="s">
        <v>31</v>
      </c>
      <c r="V24" s="58"/>
      <c r="W24" s="58"/>
      <c r="X24" s="58"/>
      <c r="Y24" s="58"/>
      <c r="Z24" s="58"/>
    </row>
    <row r="25" ht="73.5" customHeight="1" spans="1:26">
      <c r="A25" s="59">
        <v>14</v>
      </c>
      <c r="B25" s="60" t="s">
        <v>66</v>
      </c>
      <c r="C25" s="59" t="s">
        <v>125</v>
      </c>
      <c r="D25" s="60" t="s">
        <v>126</v>
      </c>
      <c r="E25" s="60" t="s">
        <v>127</v>
      </c>
      <c r="F25" s="59">
        <v>34325</v>
      </c>
      <c r="G25" s="59">
        <v>34327.36</v>
      </c>
      <c r="H25" s="60" t="s">
        <v>25</v>
      </c>
      <c r="I25" s="60" t="s">
        <v>60</v>
      </c>
      <c r="J25" s="60" t="s">
        <v>27</v>
      </c>
      <c r="K25" s="60" t="s">
        <v>128</v>
      </c>
      <c r="L25" s="60"/>
      <c r="M25" s="60" t="s">
        <v>29</v>
      </c>
      <c r="N25" s="60" t="s">
        <v>71</v>
      </c>
      <c r="O25" s="60"/>
      <c r="P25" s="59">
        <v>2</v>
      </c>
      <c r="Q25" s="60" t="s">
        <v>31</v>
      </c>
      <c r="R25" s="59">
        <v>2</v>
      </c>
      <c r="S25" s="60" t="s">
        <v>31</v>
      </c>
      <c r="T25" s="57">
        <v>0</v>
      </c>
      <c r="U25" s="60" t="s">
        <v>31</v>
      </c>
      <c r="V25" s="58"/>
      <c r="W25" s="58"/>
      <c r="X25" s="58"/>
      <c r="Y25" s="58"/>
      <c r="Z25" s="58"/>
    </row>
    <row r="26" ht="73.5" customHeight="1" spans="1:26">
      <c r="A26" s="59">
        <v>15</v>
      </c>
      <c r="B26" s="60" t="s">
        <v>66</v>
      </c>
      <c r="C26" s="59" t="s">
        <v>129</v>
      </c>
      <c r="D26" s="60" t="s">
        <v>130</v>
      </c>
      <c r="E26" s="60" t="s">
        <v>131</v>
      </c>
      <c r="F26" s="59">
        <v>34325</v>
      </c>
      <c r="G26" s="59">
        <v>34327.36</v>
      </c>
      <c r="H26" s="60" t="s">
        <v>25</v>
      </c>
      <c r="I26" s="60" t="s">
        <v>79</v>
      </c>
      <c r="J26" s="60" t="s">
        <v>27</v>
      </c>
      <c r="K26" s="60" t="s">
        <v>70</v>
      </c>
      <c r="L26" s="60"/>
      <c r="M26" s="60" t="s">
        <v>29</v>
      </c>
      <c r="N26" s="60" t="s">
        <v>71</v>
      </c>
      <c r="O26" s="60"/>
      <c r="P26" s="59">
        <v>2</v>
      </c>
      <c r="Q26" s="60" t="s">
        <v>31</v>
      </c>
      <c r="R26" s="59">
        <v>2</v>
      </c>
      <c r="S26" s="60" t="s">
        <v>31</v>
      </c>
      <c r="T26" s="57">
        <v>0</v>
      </c>
      <c r="U26" s="60" t="s">
        <v>31</v>
      </c>
      <c r="V26" s="58"/>
      <c r="W26" s="58"/>
      <c r="X26" s="58"/>
      <c r="Y26" s="58"/>
      <c r="Z26" s="58"/>
    </row>
    <row r="27" ht="73.5" customHeight="1" spans="1:26">
      <c r="A27" s="59">
        <v>18</v>
      </c>
      <c r="B27" s="60" t="s">
        <v>66</v>
      </c>
      <c r="C27" s="60" t="s">
        <v>132</v>
      </c>
      <c r="D27" s="60" t="s">
        <v>133</v>
      </c>
      <c r="E27" s="60" t="s">
        <v>134</v>
      </c>
      <c r="F27" s="59">
        <v>10350</v>
      </c>
      <c r="G27" s="59">
        <v>10352.36</v>
      </c>
      <c r="H27" s="60" t="s">
        <v>25</v>
      </c>
      <c r="I27" s="60" t="s">
        <v>60</v>
      </c>
      <c r="J27" s="60" t="s">
        <v>135</v>
      </c>
      <c r="K27" s="60" t="s">
        <v>136</v>
      </c>
      <c r="L27" s="60"/>
      <c r="M27" s="60" t="s">
        <v>29</v>
      </c>
      <c r="N27" s="60" t="s">
        <v>71</v>
      </c>
      <c r="O27" s="60"/>
      <c r="P27" s="59">
        <v>2</v>
      </c>
      <c r="Q27" s="60" t="s">
        <v>31</v>
      </c>
      <c r="R27" s="59">
        <v>2</v>
      </c>
      <c r="S27" s="60" t="s">
        <v>31</v>
      </c>
      <c r="T27" s="57">
        <v>0</v>
      </c>
      <c r="U27" s="60" t="s">
        <v>31</v>
      </c>
      <c r="V27" s="58"/>
      <c r="W27" s="58"/>
      <c r="X27" s="58"/>
      <c r="Y27" s="58"/>
      <c r="Z27" s="58"/>
    </row>
    <row r="28" ht="73.5" customHeight="1" spans="1:26">
      <c r="A28" s="59">
        <v>19</v>
      </c>
      <c r="B28" s="60" t="s">
        <v>66</v>
      </c>
      <c r="C28" s="60" t="s">
        <v>137</v>
      </c>
      <c r="D28" s="60" t="s">
        <v>138</v>
      </c>
      <c r="E28" s="60" t="s">
        <v>139</v>
      </c>
      <c r="F28" s="59">
        <v>34325</v>
      </c>
      <c r="G28" s="59">
        <v>34327.36</v>
      </c>
      <c r="H28" s="60" t="s">
        <v>25</v>
      </c>
      <c r="I28" s="60" t="s">
        <v>60</v>
      </c>
      <c r="J28" s="60" t="s">
        <v>135</v>
      </c>
      <c r="K28" s="60" t="s">
        <v>140</v>
      </c>
      <c r="L28" s="60"/>
      <c r="M28" s="60" t="s">
        <v>29</v>
      </c>
      <c r="N28" s="60" t="s">
        <v>71</v>
      </c>
      <c r="O28" s="60"/>
      <c r="P28" s="59">
        <v>2</v>
      </c>
      <c r="Q28" s="60" t="s">
        <v>31</v>
      </c>
      <c r="R28" s="59">
        <v>2</v>
      </c>
      <c r="S28" s="60" t="s">
        <v>31</v>
      </c>
      <c r="T28" s="57">
        <v>0</v>
      </c>
      <c r="U28" s="60" t="s">
        <v>31</v>
      </c>
      <c r="V28" s="58"/>
      <c r="W28" s="58"/>
      <c r="X28" s="58"/>
      <c r="Y28" s="58"/>
      <c r="Z28" s="58"/>
    </row>
    <row r="29" ht="73.5" customHeight="1" spans="1:26">
      <c r="A29" s="59">
        <v>20</v>
      </c>
      <c r="B29" s="60" t="s">
        <v>66</v>
      </c>
      <c r="C29" s="60" t="s">
        <v>141</v>
      </c>
      <c r="D29" s="60" t="s">
        <v>142</v>
      </c>
      <c r="E29" s="60" t="s">
        <v>143</v>
      </c>
      <c r="F29" s="59">
        <v>10950</v>
      </c>
      <c r="G29" s="59">
        <v>10952.36</v>
      </c>
      <c r="H29" s="60" t="s">
        <v>25</v>
      </c>
      <c r="I29" s="60" t="s">
        <v>60</v>
      </c>
      <c r="J29" s="60" t="s">
        <v>135</v>
      </c>
      <c r="K29" s="60" t="s">
        <v>144</v>
      </c>
      <c r="L29" s="60"/>
      <c r="M29" s="60" t="s">
        <v>29</v>
      </c>
      <c r="N29" s="60" t="s">
        <v>71</v>
      </c>
      <c r="O29" s="60"/>
      <c r="P29" s="59">
        <v>2</v>
      </c>
      <c r="Q29" s="60" t="s">
        <v>31</v>
      </c>
      <c r="R29" s="59">
        <v>2</v>
      </c>
      <c r="S29" s="60" t="s">
        <v>31</v>
      </c>
      <c r="T29" s="57">
        <v>0</v>
      </c>
      <c r="U29" s="60" t="s">
        <v>31</v>
      </c>
      <c r="V29" s="58"/>
      <c r="W29" s="58"/>
      <c r="X29" s="58"/>
      <c r="Y29" s="58"/>
      <c r="Z29" s="58"/>
    </row>
    <row r="30" ht="73.5" customHeight="1" spans="1:26">
      <c r="A30" s="59">
        <v>21</v>
      </c>
      <c r="B30" s="60" t="s">
        <v>66</v>
      </c>
      <c r="C30" s="60" t="s">
        <v>145</v>
      </c>
      <c r="D30" s="60" t="s">
        <v>146</v>
      </c>
      <c r="E30" s="60" t="s">
        <v>147</v>
      </c>
      <c r="F30" s="59">
        <v>34325</v>
      </c>
      <c r="G30" s="59">
        <v>34327.36</v>
      </c>
      <c r="H30" s="60" t="s">
        <v>25</v>
      </c>
      <c r="I30" s="60" t="s">
        <v>60</v>
      </c>
      <c r="J30" s="60" t="s">
        <v>135</v>
      </c>
      <c r="K30" s="60" t="s">
        <v>148</v>
      </c>
      <c r="L30" s="60"/>
      <c r="M30" s="60" t="s">
        <v>29</v>
      </c>
      <c r="N30" s="60" t="s">
        <v>71</v>
      </c>
      <c r="O30" s="60"/>
      <c r="P30" s="59">
        <v>2</v>
      </c>
      <c r="Q30" s="60" t="s">
        <v>31</v>
      </c>
      <c r="R30" s="59">
        <v>2</v>
      </c>
      <c r="S30" s="60" t="s">
        <v>31</v>
      </c>
      <c r="T30" s="57">
        <v>0</v>
      </c>
      <c r="U30" s="60" t="s">
        <v>31</v>
      </c>
      <c r="V30" s="58"/>
      <c r="W30" s="58"/>
      <c r="X30" s="58"/>
      <c r="Y30" s="58"/>
      <c r="Z30" s="58"/>
    </row>
    <row r="31" ht="73.5" customHeight="1" spans="1:26">
      <c r="A31" s="59">
        <v>22</v>
      </c>
      <c r="B31" s="60" t="s">
        <v>66</v>
      </c>
      <c r="C31" s="60" t="s">
        <v>149</v>
      </c>
      <c r="D31" s="60" t="s">
        <v>150</v>
      </c>
      <c r="E31" s="60" t="s">
        <v>151</v>
      </c>
      <c r="F31" s="59">
        <v>72450</v>
      </c>
      <c r="G31" s="59">
        <v>72452.36</v>
      </c>
      <c r="H31" s="60" t="s">
        <v>25</v>
      </c>
      <c r="I31" s="60" t="s">
        <v>60</v>
      </c>
      <c r="J31" s="60" t="s">
        <v>135</v>
      </c>
      <c r="K31" s="60" t="s">
        <v>152</v>
      </c>
      <c r="L31" s="60"/>
      <c r="M31" s="60" t="s">
        <v>29</v>
      </c>
      <c r="N31" s="60" t="s">
        <v>71</v>
      </c>
      <c r="O31" s="60"/>
      <c r="P31" s="59">
        <v>2</v>
      </c>
      <c r="Q31" s="60" t="s">
        <v>31</v>
      </c>
      <c r="R31" s="59">
        <v>2</v>
      </c>
      <c r="S31" s="60" t="s">
        <v>31</v>
      </c>
      <c r="T31" s="57">
        <v>0</v>
      </c>
      <c r="U31" s="60" t="s">
        <v>31</v>
      </c>
      <c r="V31" s="58"/>
      <c r="W31" s="58"/>
      <c r="X31" s="58"/>
      <c r="Y31" s="58"/>
      <c r="Z31" s="58"/>
    </row>
    <row r="32" ht="73.5" customHeight="1" spans="1:26">
      <c r="A32" s="59">
        <v>23</v>
      </c>
      <c r="B32" s="60" t="s">
        <v>66</v>
      </c>
      <c r="C32" s="60" t="s">
        <v>153</v>
      </c>
      <c r="D32" s="60" t="s">
        <v>154</v>
      </c>
      <c r="E32" s="60" t="s">
        <v>155</v>
      </c>
      <c r="F32" s="59">
        <v>74150</v>
      </c>
      <c r="G32" s="59">
        <v>74152.36</v>
      </c>
      <c r="H32" s="60" t="s">
        <v>25</v>
      </c>
      <c r="I32" s="60" t="s">
        <v>60</v>
      </c>
      <c r="J32" s="60" t="s">
        <v>135</v>
      </c>
      <c r="K32" s="60" t="s">
        <v>156</v>
      </c>
      <c r="L32" s="60"/>
      <c r="M32" s="60" t="s">
        <v>29</v>
      </c>
      <c r="N32" s="60" t="s">
        <v>71</v>
      </c>
      <c r="O32" s="60"/>
      <c r="P32" s="59">
        <v>2</v>
      </c>
      <c r="Q32" s="60" t="s">
        <v>31</v>
      </c>
      <c r="R32" s="59">
        <v>2</v>
      </c>
      <c r="S32" s="60" t="s">
        <v>31</v>
      </c>
      <c r="T32" s="57">
        <v>0</v>
      </c>
      <c r="U32" s="60" t="s">
        <v>31</v>
      </c>
      <c r="V32" s="58"/>
      <c r="W32" s="58"/>
      <c r="X32" s="58"/>
      <c r="Y32" s="58"/>
      <c r="Z32" s="58"/>
    </row>
    <row r="33" ht="73.5" customHeight="1" spans="1:26">
      <c r="A33" s="59">
        <v>24</v>
      </c>
      <c r="B33" s="60" t="s">
        <v>66</v>
      </c>
      <c r="C33" s="60" t="s">
        <v>157</v>
      </c>
      <c r="D33" s="60" t="s">
        <v>158</v>
      </c>
      <c r="E33" s="60" t="s">
        <v>159</v>
      </c>
      <c r="F33" s="59">
        <v>36100</v>
      </c>
      <c r="G33" s="59">
        <v>36102.36</v>
      </c>
      <c r="H33" s="60" t="s">
        <v>25</v>
      </c>
      <c r="I33" s="60" t="s">
        <v>60</v>
      </c>
      <c r="J33" s="60" t="s">
        <v>135</v>
      </c>
      <c r="K33" s="60" t="s">
        <v>160</v>
      </c>
      <c r="L33" s="60"/>
      <c r="M33" s="60" t="s">
        <v>29</v>
      </c>
      <c r="N33" s="60" t="s">
        <v>71</v>
      </c>
      <c r="O33" s="60"/>
      <c r="P33" s="59">
        <v>2</v>
      </c>
      <c r="Q33" s="60" t="s">
        <v>31</v>
      </c>
      <c r="R33" s="59">
        <v>2</v>
      </c>
      <c r="S33" s="60" t="s">
        <v>31</v>
      </c>
      <c r="T33" s="57">
        <v>0</v>
      </c>
      <c r="U33" s="60" t="s">
        <v>31</v>
      </c>
      <c r="V33" s="58"/>
      <c r="W33" s="58"/>
      <c r="X33" s="58"/>
      <c r="Y33" s="58"/>
      <c r="Z33" s="58"/>
    </row>
    <row r="34" ht="73.5" customHeight="1" spans="1:26">
      <c r="A34" s="59">
        <v>25</v>
      </c>
      <c r="B34" s="60" t="s">
        <v>66</v>
      </c>
      <c r="C34" s="59" t="s">
        <v>161</v>
      </c>
      <c r="D34" s="60" t="s">
        <v>162</v>
      </c>
      <c r="E34" s="60" t="s">
        <v>163</v>
      </c>
      <c r="F34" s="59">
        <v>72150</v>
      </c>
      <c r="G34" s="59">
        <v>72152.36</v>
      </c>
      <c r="H34" s="60" t="s">
        <v>25</v>
      </c>
      <c r="I34" s="60" t="s">
        <v>60</v>
      </c>
      <c r="J34" s="60" t="s">
        <v>135</v>
      </c>
      <c r="K34" s="60" t="s">
        <v>164</v>
      </c>
      <c r="L34" s="60"/>
      <c r="M34" s="60" t="s">
        <v>29</v>
      </c>
      <c r="N34" s="60" t="s">
        <v>71</v>
      </c>
      <c r="O34" s="60"/>
      <c r="P34" s="59">
        <v>2</v>
      </c>
      <c r="Q34" s="60" t="s">
        <v>31</v>
      </c>
      <c r="R34" s="59">
        <v>2</v>
      </c>
      <c r="S34" s="60" t="s">
        <v>31</v>
      </c>
      <c r="T34" s="57">
        <v>0</v>
      </c>
      <c r="U34" s="60" t="s">
        <v>31</v>
      </c>
      <c r="V34" s="58"/>
      <c r="W34" s="58"/>
      <c r="X34" s="58"/>
      <c r="Y34" s="58"/>
      <c r="Z34" s="58"/>
    </row>
    <row r="35" ht="73.5" customHeight="1" spans="1:26">
      <c r="A35" s="59">
        <v>27</v>
      </c>
      <c r="B35" s="60" t="s">
        <v>66</v>
      </c>
      <c r="C35" s="60" t="s">
        <v>165</v>
      </c>
      <c r="D35" s="60" t="s">
        <v>166</v>
      </c>
      <c r="E35" s="60" t="s">
        <v>167</v>
      </c>
      <c r="F35" s="59">
        <v>10950</v>
      </c>
      <c r="G35" s="59">
        <v>10952.36</v>
      </c>
      <c r="H35" s="60" t="s">
        <v>25</v>
      </c>
      <c r="I35" s="60" t="s">
        <v>60</v>
      </c>
      <c r="J35" s="60" t="s">
        <v>135</v>
      </c>
      <c r="K35" s="60" t="s">
        <v>168</v>
      </c>
      <c r="L35" s="60"/>
      <c r="M35" s="60" t="s">
        <v>29</v>
      </c>
      <c r="N35" s="60" t="s">
        <v>71</v>
      </c>
      <c r="O35" s="60"/>
      <c r="P35" s="59">
        <v>2</v>
      </c>
      <c r="Q35" s="60" t="s">
        <v>31</v>
      </c>
      <c r="R35" s="59">
        <v>2</v>
      </c>
      <c r="S35" s="60" t="s">
        <v>31</v>
      </c>
      <c r="T35" s="57">
        <v>0</v>
      </c>
      <c r="U35" s="60" t="s">
        <v>31</v>
      </c>
      <c r="V35" s="58"/>
      <c r="W35" s="58"/>
      <c r="X35" s="58"/>
      <c r="Y35" s="58"/>
      <c r="Z35" s="58"/>
    </row>
    <row r="36" ht="73.5" customHeight="1" spans="1:26">
      <c r="A36" s="59">
        <v>28</v>
      </c>
      <c r="B36" s="60" t="s">
        <v>66</v>
      </c>
      <c r="C36" s="60" t="s">
        <v>169</v>
      </c>
      <c r="D36" s="60" t="s">
        <v>170</v>
      </c>
      <c r="E36" s="60" t="s">
        <v>171</v>
      </c>
      <c r="F36" s="59">
        <v>10350</v>
      </c>
      <c r="G36" s="59">
        <v>10352.36</v>
      </c>
      <c r="H36" s="60" t="s">
        <v>25</v>
      </c>
      <c r="I36" s="60" t="s">
        <v>60</v>
      </c>
      <c r="J36" s="60" t="s">
        <v>135</v>
      </c>
      <c r="K36" s="60" t="s">
        <v>172</v>
      </c>
      <c r="L36" s="60"/>
      <c r="M36" s="60" t="s">
        <v>29</v>
      </c>
      <c r="N36" s="60" t="s">
        <v>71</v>
      </c>
      <c r="O36" s="60"/>
      <c r="P36" s="59">
        <v>2</v>
      </c>
      <c r="Q36" s="60" t="s">
        <v>31</v>
      </c>
      <c r="R36" s="59">
        <v>2</v>
      </c>
      <c r="S36" s="60" t="s">
        <v>31</v>
      </c>
      <c r="T36" s="57">
        <v>0</v>
      </c>
      <c r="U36" s="60" t="s">
        <v>31</v>
      </c>
      <c r="V36" s="58"/>
      <c r="W36" s="58"/>
      <c r="X36" s="58"/>
      <c r="Y36" s="58"/>
      <c r="Z36" s="58"/>
    </row>
    <row r="37" ht="73.5" customHeight="1" spans="1:26">
      <c r="A37" s="59">
        <v>29</v>
      </c>
      <c r="B37" s="60" t="s">
        <v>66</v>
      </c>
      <c r="C37" s="60" t="s">
        <v>173</v>
      </c>
      <c r="D37" s="60" t="s">
        <v>174</v>
      </c>
      <c r="E37" s="60" t="s">
        <v>175</v>
      </c>
      <c r="F37" s="59">
        <v>34325</v>
      </c>
      <c r="G37" s="59">
        <v>34327.36</v>
      </c>
      <c r="H37" s="60" t="s">
        <v>25</v>
      </c>
      <c r="I37" s="60" t="s">
        <v>60</v>
      </c>
      <c r="J37" s="60" t="s">
        <v>135</v>
      </c>
      <c r="K37" s="60" t="s">
        <v>176</v>
      </c>
      <c r="L37" s="60"/>
      <c r="M37" s="60" t="s">
        <v>29</v>
      </c>
      <c r="N37" s="60" t="s">
        <v>71</v>
      </c>
      <c r="O37" s="60"/>
      <c r="P37" s="59">
        <v>2</v>
      </c>
      <c r="Q37" s="60" t="s">
        <v>31</v>
      </c>
      <c r="R37" s="59">
        <v>2</v>
      </c>
      <c r="S37" s="60" t="s">
        <v>31</v>
      </c>
      <c r="T37" s="57">
        <v>0</v>
      </c>
      <c r="U37" s="60" t="s">
        <v>31</v>
      </c>
      <c r="V37" s="58"/>
      <c r="W37" s="58"/>
      <c r="X37" s="58"/>
      <c r="Y37" s="58"/>
      <c r="Z37" s="58"/>
    </row>
    <row r="38" ht="73.5" customHeight="1" spans="1:26">
      <c r="A38" s="59">
        <v>30</v>
      </c>
      <c r="B38" s="60" t="s">
        <v>66</v>
      </c>
      <c r="C38" s="60" t="s">
        <v>177</v>
      </c>
      <c r="D38" s="60" t="s">
        <v>178</v>
      </c>
      <c r="E38" s="60" t="s">
        <v>179</v>
      </c>
      <c r="F38" s="59">
        <v>34325</v>
      </c>
      <c r="G38" s="59">
        <v>34327.36</v>
      </c>
      <c r="H38" s="60" t="s">
        <v>25</v>
      </c>
      <c r="I38" s="60" t="s">
        <v>60</v>
      </c>
      <c r="J38" s="60" t="s">
        <v>135</v>
      </c>
      <c r="K38" s="60" t="s">
        <v>180</v>
      </c>
      <c r="L38" s="60"/>
      <c r="M38" s="60" t="s">
        <v>29</v>
      </c>
      <c r="N38" s="60" t="s">
        <v>71</v>
      </c>
      <c r="O38" s="60"/>
      <c r="P38" s="59">
        <v>2</v>
      </c>
      <c r="Q38" s="60" t="s">
        <v>31</v>
      </c>
      <c r="R38" s="59">
        <v>2</v>
      </c>
      <c r="S38" s="60" t="s">
        <v>31</v>
      </c>
      <c r="T38" s="57">
        <v>0</v>
      </c>
      <c r="U38" s="60" t="s">
        <v>31</v>
      </c>
      <c r="V38" s="58"/>
      <c r="W38" s="58"/>
      <c r="X38" s="58"/>
      <c r="Y38" s="58"/>
      <c r="Z38" s="58"/>
    </row>
    <row r="39" ht="15.15" spans="1:26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</sheetData>
  <mergeCells count="60">
    <mergeCell ref="K9:L9"/>
    <mergeCell ref="N9:O9"/>
    <mergeCell ref="K10:L10"/>
    <mergeCell ref="N10:O10"/>
    <mergeCell ref="K11:L11"/>
    <mergeCell ref="N11:O11"/>
    <mergeCell ref="K12:L12"/>
    <mergeCell ref="N12:O12"/>
    <mergeCell ref="K13:L13"/>
    <mergeCell ref="N13:O13"/>
    <mergeCell ref="K14:L14"/>
    <mergeCell ref="N14:O14"/>
    <mergeCell ref="K15:L15"/>
    <mergeCell ref="N15:O15"/>
    <mergeCell ref="K16:L16"/>
    <mergeCell ref="N16:O16"/>
    <mergeCell ref="K17:L17"/>
    <mergeCell ref="N17:O17"/>
    <mergeCell ref="K18:L18"/>
    <mergeCell ref="N18:O18"/>
    <mergeCell ref="K19:L19"/>
    <mergeCell ref="N19:O19"/>
    <mergeCell ref="K20:L20"/>
    <mergeCell ref="N20:O20"/>
    <mergeCell ref="K21:L21"/>
    <mergeCell ref="N21:O21"/>
    <mergeCell ref="K22:L22"/>
    <mergeCell ref="N22:O22"/>
    <mergeCell ref="K23:L23"/>
    <mergeCell ref="N23:O23"/>
    <mergeCell ref="K24:L24"/>
    <mergeCell ref="N24:O24"/>
    <mergeCell ref="K25:L25"/>
    <mergeCell ref="N25:O25"/>
    <mergeCell ref="K26:L26"/>
    <mergeCell ref="N26:O26"/>
    <mergeCell ref="K27:L27"/>
    <mergeCell ref="N27:O27"/>
    <mergeCell ref="K28:L28"/>
    <mergeCell ref="N28:O28"/>
    <mergeCell ref="K29:L29"/>
    <mergeCell ref="N29:O29"/>
    <mergeCell ref="K30:L30"/>
    <mergeCell ref="N30:O30"/>
    <mergeCell ref="K31:L31"/>
    <mergeCell ref="N31:O31"/>
    <mergeCell ref="K32:L32"/>
    <mergeCell ref="N32:O32"/>
    <mergeCell ref="K33:L33"/>
    <mergeCell ref="N33:O33"/>
    <mergeCell ref="K34:L34"/>
    <mergeCell ref="N34:O34"/>
    <mergeCell ref="K35:L35"/>
    <mergeCell ref="N35:O35"/>
    <mergeCell ref="K36:L36"/>
    <mergeCell ref="N36:O36"/>
    <mergeCell ref="K37:L37"/>
    <mergeCell ref="N37:O37"/>
    <mergeCell ref="K38:L38"/>
    <mergeCell ref="N38:O38"/>
  </mergeCells>
  <hyperlinks>
    <hyperlink ref="A1" r:id="rId1" display="Sr.No" tooltip="http://sr.no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9"/>
  <sheetViews>
    <sheetView zoomScale="70" zoomScaleNormal="70" workbookViewId="0">
      <selection activeCell="J11" sqref="J11"/>
    </sheetView>
  </sheetViews>
  <sheetFormatPr defaultColWidth="5.11111111111111" defaultRowHeight="14.4"/>
  <cols>
    <col min="1" max="1" width="6" style="46" customWidth="1"/>
    <col min="2" max="2" width="25.3333333333333" style="46" customWidth="1"/>
    <col min="3" max="3" width="17.3333333333333" style="46" customWidth="1"/>
    <col min="4" max="4" width="12.6666666666667" style="46" customWidth="1"/>
    <col min="5" max="5" width="15.2222222222222" style="46" customWidth="1"/>
    <col min="6" max="6" width="9.88888888888889" style="46" customWidth="1"/>
    <col min="7" max="7" width="15.1111111111111" style="46" customWidth="1"/>
    <col min="8" max="8" width="15.3333333333333" style="46" customWidth="1"/>
    <col min="9" max="9" width="14" style="46" customWidth="1"/>
    <col min="10" max="10" width="13.4907407407407" style="46" customWidth="1"/>
    <col min="11" max="11" width="29" style="46" customWidth="1"/>
    <col min="12" max="12" width="9.88888888888889" style="46" customWidth="1"/>
    <col min="13" max="13" width="14.4444444444444" style="47" customWidth="1"/>
    <col min="14" max="14" width="21.7407407407407" style="46" customWidth="1"/>
    <col min="15" max="15" width="14" style="46" customWidth="1"/>
    <col min="16" max="16" width="15.5555555555556" style="46" customWidth="1"/>
    <col min="17" max="17" width="20.3333333333333" style="46" customWidth="1"/>
    <col min="18" max="18" width="14" style="46" customWidth="1"/>
    <col min="19" max="19" width="18.7777777777778" style="46" customWidth="1"/>
    <col min="20" max="20" width="14.2222222222222" style="46" customWidth="1"/>
    <col min="21" max="21" width="18.5555555555556" style="46" customWidth="1"/>
    <col min="22" max="16377" width="5.11111111111111" style="46" customWidth="1"/>
    <col min="16378" max="16384" width="5.11111111111111" style="46"/>
  </cols>
  <sheetData>
    <row r="1" s="46" customFormat="1" ht="25" customHeight="1" spans="1:21">
      <c r="A1" s="46" t="s">
        <v>181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51" t="s">
        <v>12</v>
      </c>
      <c r="N1" s="48" t="s">
        <v>13</v>
      </c>
      <c r="O1" s="48" t="s">
        <v>14</v>
      </c>
      <c r="P1" s="48" t="s">
        <v>15</v>
      </c>
      <c r="Q1" s="48" t="s">
        <v>16</v>
      </c>
      <c r="R1" s="48" t="s">
        <v>17</v>
      </c>
      <c r="S1" s="48" t="s">
        <v>18</v>
      </c>
      <c r="T1" s="48" t="s">
        <v>19</v>
      </c>
      <c r="U1" s="48" t="s">
        <v>20</v>
      </c>
    </row>
    <row r="2" ht="27.15" spans="1:21">
      <c r="A2" s="49">
        <v>1</v>
      </c>
      <c r="B2" s="49" t="s">
        <v>21</v>
      </c>
      <c r="C2" s="49" t="s">
        <v>22</v>
      </c>
      <c r="D2" s="49" t="s">
        <v>23</v>
      </c>
      <c r="E2" s="49" t="s">
        <v>24</v>
      </c>
      <c r="F2" s="49">
        <v>3800</v>
      </c>
      <c r="G2" s="49">
        <v>3802.36</v>
      </c>
      <c r="H2" s="49" t="s">
        <v>25</v>
      </c>
      <c r="I2" s="49" t="s">
        <v>26</v>
      </c>
      <c r="J2" s="49" t="s">
        <v>27</v>
      </c>
      <c r="K2" s="49" t="s">
        <v>28</v>
      </c>
      <c r="L2" s="49"/>
      <c r="M2" s="52">
        <v>0</v>
      </c>
      <c r="N2" s="49" t="s">
        <v>30</v>
      </c>
      <c r="O2" s="49"/>
      <c r="P2" s="50">
        <v>2</v>
      </c>
      <c r="Q2" s="50" t="s">
        <v>31</v>
      </c>
      <c r="R2" s="50">
        <v>2</v>
      </c>
      <c r="S2" s="50" t="s">
        <v>31</v>
      </c>
      <c r="T2" s="49">
        <v>0</v>
      </c>
      <c r="U2" s="50" t="s">
        <v>31</v>
      </c>
    </row>
    <row r="3" ht="34" customHeight="1" spans="1:21">
      <c r="A3" s="49">
        <v>2</v>
      </c>
      <c r="B3" s="49" t="s">
        <v>32</v>
      </c>
      <c r="C3" s="49" t="s">
        <v>33</v>
      </c>
      <c r="D3" s="49" t="s">
        <v>34</v>
      </c>
      <c r="E3" s="49" t="s">
        <v>35</v>
      </c>
      <c r="F3" s="49">
        <v>15000</v>
      </c>
      <c r="G3" s="49">
        <v>15002.36</v>
      </c>
      <c r="H3" s="49" t="s">
        <v>25</v>
      </c>
      <c r="I3" s="49" t="s">
        <v>26</v>
      </c>
      <c r="J3" s="49" t="s">
        <v>27</v>
      </c>
      <c r="K3" s="53" t="s">
        <v>36</v>
      </c>
      <c r="L3" s="49"/>
      <c r="M3" s="52">
        <v>0</v>
      </c>
      <c r="N3" s="49" t="s">
        <v>30</v>
      </c>
      <c r="O3" s="49"/>
      <c r="P3" s="50">
        <v>2</v>
      </c>
      <c r="Q3" s="50" t="s">
        <v>31</v>
      </c>
      <c r="R3" s="50">
        <v>2</v>
      </c>
      <c r="S3" s="50" t="s">
        <v>31</v>
      </c>
      <c r="T3" s="49">
        <v>0</v>
      </c>
      <c r="U3" s="50" t="s">
        <v>31</v>
      </c>
    </row>
    <row r="4" ht="34" customHeight="1" spans="1:21">
      <c r="A4" s="49">
        <v>3</v>
      </c>
      <c r="B4" s="49" t="s">
        <v>32</v>
      </c>
      <c r="C4" s="49" t="s">
        <v>37</v>
      </c>
      <c r="D4" s="49" t="s">
        <v>38</v>
      </c>
      <c r="E4" s="49" t="s">
        <v>39</v>
      </c>
      <c r="F4" s="49">
        <v>10000</v>
      </c>
      <c r="G4" s="49">
        <v>10002.36</v>
      </c>
      <c r="H4" s="49" t="s">
        <v>25</v>
      </c>
      <c r="I4" s="49" t="s">
        <v>26</v>
      </c>
      <c r="J4" s="49" t="s">
        <v>27</v>
      </c>
      <c r="K4" s="53" t="s">
        <v>40</v>
      </c>
      <c r="L4" s="49"/>
      <c r="M4" s="52">
        <v>0</v>
      </c>
      <c r="N4" s="49" t="s">
        <v>30</v>
      </c>
      <c r="O4" s="49"/>
      <c r="P4" s="50">
        <v>2</v>
      </c>
      <c r="Q4" s="50" t="s">
        <v>31</v>
      </c>
      <c r="R4" s="50">
        <v>2</v>
      </c>
      <c r="S4" s="50" t="s">
        <v>31</v>
      </c>
      <c r="T4" s="49">
        <v>0</v>
      </c>
      <c r="U4" s="50" t="s">
        <v>31</v>
      </c>
    </row>
    <row r="5" ht="34" customHeight="1" spans="1:21">
      <c r="A5" s="49">
        <v>4</v>
      </c>
      <c r="B5" s="49" t="s">
        <v>32</v>
      </c>
      <c r="C5" s="49" t="s">
        <v>41</v>
      </c>
      <c r="D5" s="49" t="s">
        <v>42</v>
      </c>
      <c r="E5" s="49" t="s">
        <v>43</v>
      </c>
      <c r="F5" s="49">
        <v>5000</v>
      </c>
      <c r="G5" s="49">
        <v>5002.36</v>
      </c>
      <c r="H5" s="49" t="s">
        <v>25</v>
      </c>
      <c r="I5" s="49" t="s">
        <v>26</v>
      </c>
      <c r="J5" s="49" t="s">
        <v>27</v>
      </c>
      <c r="K5" s="53" t="s">
        <v>44</v>
      </c>
      <c r="L5" s="49"/>
      <c r="M5" s="52">
        <v>0</v>
      </c>
      <c r="N5" s="49" t="s">
        <v>30</v>
      </c>
      <c r="O5" s="49"/>
      <c r="P5" s="50">
        <v>2</v>
      </c>
      <c r="Q5" s="50" t="s">
        <v>31</v>
      </c>
      <c r="R5" s="50">
        <v>2</v>
      </c>
      <c r="S5" s="50" t="s">
        <v>31</v>
      </c>
      <c r="T5" s="49">
        <v>0</v>
      </c>
      <c r="U5" s="50" t="s">
        <v>31</v>
      </c>
    </row>
    <row r="6" ht="34" customHeight="1" spans="1:21">
      <c r="A6" s="49">
        <v>5</v>
      </c>
      <c r="B6" s="49" t="s">
        <v>32</v>
      </c>
      <c r="C6" s="49" t="s">
        <v>45</v>
      </c>
      <c r="D6" s="49" t="s">
        <v>46</v>
      </c>
      <c r="E6" s="49" t="s">
        <v>47</v>
      </c>
      <c r="F6" s="49">
        <v>5000</v>
      </c>
      <c r="G6" s="49">
        <v>5002.36</v>
      </c>
      <c r="H6" s="49" t="s">
        <v>25</v>
      </c>
      <c r="I6" s="49" t="s">
        <v>26</v>
      </c>
      <c r="J6" s="49" t="s">
        <v>27</v>
      </c>
      <c r="K6" s="53" t="s">
        <v>48</v>
      </c>
      <c r="L6" s="49"/>
      <c r="M6" s="52">
        <v>0</v>
      </c>
      <c r="N6" s="49" t="s">
        <v>30</v>
      </c>
      <c r="O6" s="49"/>
      <c r="P6" s="50">
        <v>2</v>
      </c>
      <c r="Q6" s="50" t="s">
        <v>31</v>
      </c>
      <c r="R6" s="50">
        <v>2</v>
      </c>
      <c r="S6" s="50" t="s">
        <v>31</v>
      </c>
      <c r="T6" s="49">
        <v>0</v>
      </c>
      <c r="U6" s="50" t="s">
        <v>31</v>
      </c>
    </row>
    <row r="7" ht="34" customHeight="1" spans="1:21">
      <c r="A7" s="49">
        <v>6</v>
      </c>
      <c r="B7" s="49" t="s">
        <v>32</v>
      </c>
      <c r="C7" s="49" t="s">
        <v>49</v>
      </c>
      <c r="D7" s="49" t="s">
        <v>50</v>
      </c>
      <c r="E7" s="49" t="s">
        <v>51</v>
      </c>
      <c r="F7" s="49">
        <v>10000</v>
      </c>
      <c r="G7" s="49">
        <v>10002.36</v>
      </c>
      <c r="H7" s="49" t="s">
        <v>25</v>
      </c>
      <c r="I7" s="49" t="s">
        <v>26</v>
      </c>
      <c r="J7" s="49" t="s">
        <v>27</v>
      </c>
      <c r="K7" s="53" t="s">
        <v>52</v>
      </c>
      <c r="L7" s="49"/>
      <c r="M7" s="52">
        <v>0</v>
      </c>
      <c r="N7" s="49" t="s">
        <v>30</v>
      </c>
      <c r="O7" s="49"/>
      <c r="P7" s="50">
        <v>2</v>
      </c>
      <c r="Q7" s="50" t="s">
        <v>31</v>
      </c>
      <c r="R7" s="50">
        <v>2</v>
      </c>
      <c r="S7" s="50" t="s">
        <v>31</v>
      </c>
      <c r="T7" s="49">
        <v>0</v>
      </c>
      <c r="U7" s="50" t="s">
        <v>31</v>
      </c>
    </row>
    <row r="8" ht="34" customHeight="1" spans="1:21">
      <c r="A8" s="49">
        <v>7</v>
      </c>
      <c r="B8" s="49" t="s">
        <v>32</v>
      </c>
      <c r="C8" s="49" t="s">
        <v>53</v>
      </c>
      <c r="D8" s="49" t="s">
        <v>54</v>
      </c>
      <c r="E8" s="49" t="s">
        <v>55</v>
      </c>
      <c r="F8" s="49">
        <v>18836</v>
      </c>
      <c r="G8" s="49">
        <v>18838.36</v>
      </c>
      <c r="H8" s="49" t="s">
        <v>25</v>
      </c>
      <c r="I8" s="49" t="s">
        <v>26</v>
      </c>
      <c r="J8" s="49" t="s">
        <v>27</v>
      </c>
      <c r="K8" s="53" t="s">
        <v>56</v>
      </c>
      <c r="L8" s="49"/>
      <c r="M8" s="52">
        <v>0</v>
      </c>
      <c r="N8" s="49" t="s">
        <v>30</v>
      </c>
      <c r="O8" s="49"/>
      <c r="P8" s="50">
        <v>2</v>
      </c>
      <c r="Q8" s="50" t="s">
        <v>31</v>
      </c>
      <c r="R8" s="50">
        <v>2</v>
      </c>
      <c r="S8" s="50" t="s">
        <v>31</v>
      </c>
      <c r="T8" s="49">
        <v>0</v>
      </c>
      <c r="U8" s="50" t="s">
        <v>31</v>
      </c>
    </row>
    <row r="9" ht="34" customHeight="1" spans="1:21">
      <c r="A9" s="49">
        <v>8</v>
      </c>
      <c r="B9" s="50" t="s">
        <v>32</v>
      </c>
      <c r="C9" s="50" t="s">
        <v>57</v>
      </c>
      <c r="D9" s="50" t="s">
        <v>58</v>
      </c>
      <c r="E9" s="50" t="s">
        <v>59</v>
      </c>
      <c r="F9" s="50">
        <v>10576</v>
      </c>
      <c r="G9" s="50">
        <v>10578.36</v>
      </c>
      <c r="H9" s="50" t="s">
        <v>25</v>
      </c>
      <c r="I9" s="50" t="s">
        <v>60</v>
      </c>
      <c r="J9" s="50" t="s">
        <v>27</v>
      </c>
      <c r="K9" s="50" t="s">
        <v>61</v>
      </c>
      <c r="L9" s="50"/>
      <c r="M9" s="52">
        <v>0</v>
      </c>
      <c r="N9" s="50" t="s">
        <v>30</v>
      </c>
      <c r="O9" s="50"/>
      <c r="P9" s="50">
        <v>2</v>
      </c>
      <c r="Q9" s="50" t="s">
        <v>31</v>
      </c>
      <c r="R9" s="50">
        <v>2</v>
      </c>
      <c r="S9" s="50" t="s">
        <v>31</v>
      </c>
      <c r="T9" s="49">
        <v>0</v>
      </c>
      <c r="U9" s="50" t="s">
        <v>31</v>
      </c>
    </row>
    <row r="10" ht="34" customHeight="1" spans="1:21">
      <c r="A10" s="49">
        <v>9</v>
      </c>
      <c r="B10" s="50" t="s">
        <v>32</v>
      </c>
      <c r="C10" s="50" t="s">
        <v>62</v>
      </c>
      <c r="D10" s="50" t="s">
        <v>63</v>
      </c>
      <c r="E10" s="50" t="s">
        <v>64</v>
      </c>
      <c r="F10" s="50">
        <v>1</v>
      </c>
      <c r="G10" s="50">
        <v>3.36</v>
      </c>
      <c r="H10" s="50" t="s">
        <v>25</v>
      </c>
      <c r="I10" s="50" t="s">
        <v>60</v>
      </c>
      <c r="J10" s="50" t="s">
        <v>27</v>
      </c>
      <c r="K10" s="50" t="s">
        <v>65</v>
      </c>
      <c r="L10" s="50"/>
      <c r="M10" s="52">
        <v>0</v>
      </c>
      <c r="N10" s="50" t="s">
        <v>30</v>
      </c>
      <c r="O10" s="50"/>
      <c r="P10" s="50">
        <v>2</v>
      </c>
      <c r="Q10" s="50" t="s">
        <v>31</v>
      </c>
      <c r="R10" s="50">
        <v>2</v>
      </c>
      <c r="S10" s="50" t="s">
        <v>31</v>
      </c>
      <c r="T10" s="49">
        <v>0</v>
      </c>
      <c r="U10" s="50" t="s">
        <v>31</v>
      </c>
    </row>
    <row r="11" ht="34" customHeight="1" spans="1:21">
      <c r="A11" s="49">
        <v>10</v>
      </c>
      <c r="B11" s="50" t="s">
        <v>66</v>
      </c>
      <c r="C11" s="50" t="s">
        <v>67</v>
      </c>
      <c r="D11" s="50" t="s">
        <v>68</v>
      </c>
      <c r="E11" s="50" t="s">
        <v>69</v>
      </c>
      <c r="F11" s="50">
        <v>34325</v>
      </c>
      <c r="G11" s="50">
        <v>34327.36</v>
      </c>
      <c r="H11" s="50" t="s">
        <v>25</v>
      </c>
      <c r="I11" s="50" t="s">
        <v>60</v>
      </c>
      <c r="J11" s="50" t="s">
        <v>27</v>
      </c>
      <c r="K11" s="50" t="s">
        <v>70</v>
      </c>
      <c r="L11" s="50"/>
      <c r="M11" s="52">
        <v>0</v>
      </c>
      <c r="N11" s="50" t="s">
        <v>71</v>
      </c>
      <c r="O11" s="50"/>
      <c r="P11" s="50">
        <v>2</v>
      </c>
      <c r="Q11" s="50" t="s">
        <v>31</v>
      </c>
      <c r="R11" s="50">
        <v>2</v>
      </c>
      <c r="S11" s="50" t="s">
        <v>31</v>
      </c>
      <c r="T11" s="49">
        <v>0</v>
      </c>
      <c r="U11" s="50" t="s">
        <v>31</v>
      </c>
    </row>
    <row r="12" ht="34" customHeight="1" spans="1:21">
      <c r="A12" s="49">
        <v>11</v>
      </c>
      <c r="B12" s="50" t="s">
        <v>66</v>
      </c>
      <c r="C12" s="50" t="s">
        <v>72</v>
      </c>
      <c r="D12" s="50" t="s">
        <v>73</v>
      </c>
      <c r="E12" s="50" t="s">
        <v>74</v>
      </c>
      <c r="F12" s="50">
        <v>38100</v>
      </c>
      <c r="G12" s="50">
        <v>38102.36</v>
      </c>
      <c r="H12" s="50" t="s">
        <v>25</v>
      </c>
      <c r="I12" s="50" t="s">
        <v>60</v>
      </c>
      <c r="J12" s="50" t="s">
        <v>27</v>
      </c>
      <c r="K12" s="50" t="s">
        <v>75</v>
      </c>
      <c r="L12" s="50"/>
      <c r="M12" s="52">
        <v>0</v>
      </c>
      <c r="N12" s="50" t="s">
        <v>71</v>
      </c>
      <c r="O12" s="50"/>
      <c r="P12" s="50">
        <v>2</v>
      </c>
      <c r="Q12" s="50" t="s">
        <v>31</v>
      </c>
      <c r="R12" s="50">
        <v>2</v>
      </c>
      <c r="S12" s="50" t="s">
        <v>31</v>
      </c>
      <c r="T12" s="49">
        <v>0</v>
      </c>
      <c r="U12" s="50" t="s">
        <v>31</v>
      </c>
    </row>
    <row r="13" ht="34" customHeight="1" spans="1:21">
      <c r="A13" s="49">
        <v>12</v>
      </c>
      <c r="B13" s="50" t="s">
        <v>66</v>
      </c>
      <c r="C13" s="50" t="s">
        <v>76</v>
      </c>
      <c r="D13" s="50" t="s">
        <v>77</v>
      </c>
      <c r="E13" s="50" t="s">
        <v>78</v>
      </c>
      <c r="F13" s="50">
        <v>10350</v>
      </c>
      <c r="G13" s="50">
        <v>10352.36</v>
      </c>
      <c r="H13" s="50" t="s">
        <v>25</v>
      </c>
      <c r="I13" s="50" t="s">
        <v>79</v>
      </c>
      <c r="J13" s="50" t="s">
        <v>27</v>
      </c>
      <c r="K13" s="50" t="s">
        <v>80</v>
      </c>
      <c r="L13" s="50"/>
      <c r="M13" s="52">
        <v>0</v>
      </c>
      <c r="N13" s="50" t="s">
        <v>71</v>
      </c>
      <c r="O13" s="50"/>
      <c r="P13" s="50">
        <v>2</v>
      </c>
      <c r="Q13" s="50" t="s">
        <v>31</v>
      </c>
      <c r="R13" s="50">
        <v>2</v>
      </c>
      <c r="S13" s="50" t="s">
        <v>31</v>
      </c>
      <c r="T13" s="49">
        <v>0</v>
      </c>
      <c r="U13" s="50" t="s">
        <v>31</v>
      </c>
    </row>
    <row r="14" ht="34" customHeight="1" spans="1:21">
      <c r="A14" s="49">
        <v>13</v>
      </c>
      <c r="B14" s="50" t="s">
        <v>66</v>
      </c>
      <c r="C14" s="50" t="s">
        <v>81</v>
      </c>
      <c r="D14" s="50" t="s">
        <v>82</v>
      </c>
      <c r="E14" s="50" t="s">
        <v>83</v>
      </c>
      <c r="F14" s="50">
        <v>10950</v>
      </c>
      <c r="G14" s="50">
        <v>10952.36</v>
      </c>
      <c r="H14" s="50" t="s">
        <v>25</v>
      </c>
      <c r="I14" s="50" t="s">
        <v>60</v>
      </c>
      <c r="J14" s="50" t="s">
        <v>27</v>
      </c>
      <c r="K14" s="50" t="s">
        <v>84</v>
      </c>
      <c r="L14" s="50"/>
      <c r="M14" s="52">
        <v>0</v>
      </c>
      <c r="N14" s="50" t="s">
        <v>71</v>
      </c>
      <c r="O14" s="50"/>
      <c r="P14" s="50">
        <v>2</v>
      </c>
      <c r="Q14" s="50" t="s">
        <v>31</v>
      </c>
      <c r="R14" s="50">
        <v>2</v>
      </c>
      <c r="S14" s="50" t="s">
        <v>31</v>
      </c>
      <c r="T14" s="49">
        <v>0</v>
      </c>
      <c r="U14" s="50" t="s">
        <v>31</v>
      </c>
    </row>
    <row r="15" ht="34" customHeight="1" spans="1:21">
      <c r="A15" s="49">
        <v>14</v>
      </c>
      <c r="B15" s="50" t="s">
        <v>66</v>
      </c>
      <c r="C15" s="50" t="s">
        <v>85</v>
      </c>
      <c r="D15" s="50" t="s">
        <v>86</v>
      </c>
      <c r="E15" s="50" t="s">
        <v>87</v>
      </c>
      <c r="F15" s="50">
        <v>10350</v>
      </c>
      <c r="G15" s="50">
        <v>10352.36</v>
      </c>
      <c r="H15" s="50" t="s">
        <v>25</v>
      </c>
      <c r="I15" s="50" t="s">
        <v>60</v>
      </c>
      <c r="J15" s="50" t="s">
        <v>27</v>
      </c>
      <c r="K15" s="50" t="s">
        <v>88</v>
      </c>
      <c r="L15" s="50"/>
      <c r="M15" s="52">
        <v>0</v>
      </c>
      <c r="N15" s="50" t="s">
        <v>71</v>
      </c>
      <c r="O15" s="50"/>
      <c r="P15" s="50">
        <v>2</v>
      </c>
      <c r="Q15" s="50" t="s">
        <v>31</v>
      </c>
      <c r="R15" s="50">
        <v>2</v>
      </c>
      <c r="S15" s="50" t="s">
        <v>31</v>
      </c>
      <c r="T15" s="49">
        <v>0</v>
      </c>
      <c r="U15" s="50" t="s">
        <v>31</v>
      </c>
    </row>
    <row r="16" ht="34" customHeight="1" spans="1:21">
      <c r="A16" s="49">
        <v>15</v>
      </c>
      <c r="B16" s="50" t="s">
        <v>66</v>
      </c>
      <c r="C16" s="50" t="s">
        <v>89</v>
      </c>
      <c r="D16" s="50" t="s">
        <v>90</v>
      </c>
      <c r="E16" s="50" t="s">
        <v>91</v>
      </c>
      <c r="F16" s="50">
        <v>10950</v>
      </c>
      <c r="G16" s="50">
        <v>10952.36</v>
      </c>
      <c r="H16" s="50" t="s">
        <v>25</v>
      </c>
      <c r="I16" s="50" t="s">
        <v>79</v>
      </c>
      <c r="J16" s="50" t="s">
        <v>27</v>
      </c>
      <c r="K16" s="50" t="s">
        <v>92</v>
      </c>
      <c r="L16" s="50"/>
      <c r="M16" s="52">
        <v>0</v>
      </c>
      <c r="N16" s="50" t="s">
        <v>71</v>
      </c>
      <c r="O16" s="50"/>
      <c r="P16" s="50">
        <v>2</v>
      </c>
      <c r="Q16" s="50" t="s">
        <v>31</v>
      </c>
      <c r="R16" s="50">
        <v>2</v>
      </c>
      <c r="S16" s="50" t="s">
        <v>31</v>
      </c>
      <c r="T16" s="49">
        <v>0</v>
      </c>
      <c r="U16" s="50" t="s">
        <v>31</v>
      </c>
    </row>
    <row r="17" ht="34" customHeight="1" spans="1:21">
      <c r="A17" s="49">
        <v>16</v>
      </c>
      <c r="B17" s="50" t="s">
        <v>66</v>
      </c>
      <c r="C17" s="50" t="s">
        <v>93</v>
      </c>
      <c r="D17" s="50" t="s">
        <v>94</v>
      </c>
      <c r="E17" s="50" t="s">
        <v>95</v>
      </c>
      <c r="F17" s="50">
        <v>74150</v>
      </c>
      <c r="G17" s="50">
        <v>74152.36</v>
      </c>
      <c r="H17" s="50" t="s">
        <v>25</v>
      </c>
      <c r="I17" s="50" t="s">
        <v>60</v>
      </c>
      <c r="J17" s="50" t="s">
        <v>27</v>
      </c>
      <c r="K17" s="50" t="s">
        <v>96</v>
      </c>
      <c r="L17" s="50"/>
      <c r="M17" s="52">
        <v>0</v>
      </c>
      <c r="N17" s="50" t="s">
        <v>71</v>
      </c>
      <c r="O17" s="50"/>
      <c r="P17" s="50">
        <v>2</v>
      </c>
      <c r="Q17" s="50" t="s">
        <v>31</v>
      </c>
      <c r="R17" s="50">
        <v>2</v>
      </c>
      <c r="S17" s="50" t="s">
        <v>31</v>
      </c>
      <c r="T17" s="49">
        <v>0</v>
      </c>
      <c r="U17" s="50" t="s">
        <v>31</v>
      </c>
    </row>
    <row r="18" ht="34" customHeight="1" spans="1:21">
      <c r="A18" s="49">
        <v>17</v>
      </c>
      <c r="B18" s="50" t="s">
        <v>66</v>
      </c>
      <c r="C18" s="50" t="s">
        <v>97</v>
      </c>
      <c r="D18" s="50" t="s">
        <v>98</v>
      </c>
      <c r="E18" s="50" t="s">
        <v>99</v>
      </c>
      <c r="F18" s="50">
        <v>10350</v>
      </c>
      <c r="G18" s="50">
        <v>10352.36</v>
      </c>
      <c r="H18" s="50" t="s">
        <v>25</v>
      </c>
      <c r="I18" s="50" t="s">
        <v>79</v>
      </c>
      <c r="J18" s="50" t="s">
        <v>27</v>
      </c>
      <c r="K18" s="50" t="s">
        <v>100</v>
      </c>
      <c r="L18" s="50"/>
      <c r="M18" s="52">
        <v>0</v>
      </c>
      <c r="N18" s="50" t="s">
        <v>71</v>
      </c>
      <c r="O18" s="50"/>
      <c r="P18" s="50">
        <v>2</v>
      </c>
      <c r="Q18" s="50" t="s">
        <v>31</v>
      </c>
      <c r="R18" s="50">
        <v>2</v>
      </c>
      <c r="S18" s="50" t="s">
        <v>31</v>
      </c>
      <c r="T18" s="49">
        <v>0</v>
      </c>
      <c r="U18" s="50" t="s">
        <v>31</v>
      </c>
    </row>
    <row r="19" ht="34" customHeight="1" spans="1:21">
      <c r="A19" s="49">
        <v>18</v>
      </c>
      <c r="B19" s="50" t="s">
        <v>66</v>
      </c>
      <c r="C19" s="50" t="s">
        <v>101</v>
      </c>
      <c r="D19" s="50" t="s">
        <v>102</v>
      </c>
      <c r="E19" s="50" t="s">
        <v>103</v>
      </c>
      <c r="F19" s="50">
        <v>10350</v>
      </c>
      <c r="G19" s="50">
        <v>10352.36</v>
      </c>
      <c r="H19" s="50" t="s">
        <v>25</v>
      </c>
      <c r="I19" s="50" t="s">
        <v>60</v>
      </c>
      <c r="J19" s="50" t="s">
        <v>27</v>
      </c>
      <c r="K19" s="50" t="s">
        <v>104</v>
      </c>
      <c r="L19" s="50"/>
      <c r="M19" s="52">
        <v>0</v>
      </c>
      <c r="N19" s="50" t="s">
        <v>71</v>
      </c>
      <c r="O19" s="50"/>
      <c r="P19" s="50">
        <v>2</v>
      </c>
      <c r="Q19" s="50" t="s">
        <v>31</v>
      </c>
      <c r="R19" s="50">
        <v>2</v>
      </c>
      <c r="S19" s="50" t="s">
        <v>31</v>
      </c>
      <c r="T19" s="49">
        <v>0</v>
      </c>
      <c r="U19" s="50" t="s">
        <v>31</v>
      </c>
    </row>
    <row r="20" ht="34" customHeight="1" spans="1:21">
      <c r="A20" s="49">
        <v>19</v>
      </c>
      <c r="B20" s="50" t="s">
        <v>66</v>
      </c>
      <c r="C20" s="50" t="s">
        <v>105</v>
      </c>
      <c r="D20" s="50" t="s">
        <v>106</v>
      </c>
      <c r="E20" s="50" t="s">
        <v>107</v>
      </c>
      <c r="F20" s="50">
        <v>34325</v>
      </c>
      <c r="G20" s="50">
        <v>34327.36</v>
      </c>
      <c r="H20" s="50" t="s">
        <v>25</v>
      </c>
      <c r="I20" s="50" t="s">
        <v>79</v>
      </c>
      <c r="J20" s="50" t="s">
        <v>27</v>
      </c>
      <c r="K20" s="50" t="s">
        <v>108</v>
      </c>
      <c r="L20" s="50"/>
      <c r="M20" s="52">
        <v>0</v>
      </c>
      <c r="N20" s="50" t="s">
        <v>71</v>
      </c>
      <c r="O20" s="50"/>
      <c r="P20" s="50">
        <v>2</v>
      </c>
      <c r="Q20" s="50" t="s">
        <v>31</v>
      </c>
      <c r="R20" s="50">
        <v>2</v>
      </c>
      <c r="S20" s="50" t="s">
        <v>31</v>
      </c>
      <c r="T20" s="49">
        <v>0</v>
      </c>
      <c r="U20" s="50" t="s">
        <v>31</v>
      </c>
    </row>
    <row r="21" ht="34" customHeight="1" spans="1:21">
      <c r="A21" s="49">
        <v>20</v>
      </c>
      <c r="B21" s="50" t="s">
        <v>66</v>
      </c>
      <c r="C21" s="50" t="s">
        <v>109</v>
      </c>
      <c r="D21" s="50" t="s">
        <v>110</v>
      </c>
      <c r="E21" s="50" t="s">
        <v>111</v>
      </c>
      <c r="F21" s="50">
        <v>10950</v>
      </c>
      <c r="G21" s="50">
        <v>10952.36</v>
      </c>
      <c r="H21" s="50" t="s">
        <v>25</v>
      </c>
      <c r="I21" s="50" t="s">
        <v>60</v>
      </c>
      <c r="J21" s="50" t="s">
        <v>27</v>
      </c>
      <c r="K21" s="50" t="s">
        <v>112</v>
      </c>
      <c r="L21" s="50"/>
      <c r="M21" s="52">
        <v>0</v>
      </c>
      <c r="N21" s="50" t="s">
        <v>71</v>
      </c>
      <c r="O21" s="50"/>
      <c r="P21" s="50">
        <v>2</v>
      </c>
      <c r="Q21" s="50" t="s">
        <v>31</v>
      </c>
      <c r="R21" s="50">
        <v>2</v>
      </c>
      <c r="S21" s="50" t="s">
        <v>31</v>
      </c>
      <c r="T21" s="49">
        <v>0</v>
      </c>
      <c r="U21" s="50" t="s">
        <v>31</v>
      </c>
    </row>
    <row r="22" ht="34" customHeight="1" spans="1:21">
      <c r="A22" s="49">
        <v>21</v>
      </c>
      <c r="B22" s="50" t="s">
        <v>66</v>
      </c>
      <c r="C22" s="50" t="s">
        <v>113</v>
      </c>
      <c r="D22" s="50" t="s">
        <v>114</v>
      </c>
      <c r="E22" s="50" t="s">
        <v>115</v>
      </c>
      <c r="F22" s="50">
        <v>10350</v>
      </c>
      <c r="G22" s="50">
        <v>10352.36</v>
      </c>
      <c r="H22" s="50" t="s">
        <v>25</v>
      </c>
      <c r="I22" s="50" t="s">
        <v>79</v>
      </c>
      <c r="J22" s="50" t="s">
        <v>27</v>
      </c>
      <c r="K22" s="50" t="s">
        <v>116</v>
      </c>
      <c r="L22" s="50"/>
      <c r="M22" s="52">
        <v>0</v>
      </c>
      <c r="N22" s="50" t="s">
        <v>71</v>
      </c>
      <c r="O22" s="50"/>
      <c r="P22" s="50">
        <v>2</v>
      </c>
      <c r="Q22" s="50" t="s">
        <v>31</v>
      </c>
      <c r="R22" s="50">
        <v>2</v>
      </c>
      <c r="S22" s="50" t="s">
        <v>31</v>
      </c>
      <c r="T22" s="49">
        <v>0</v>
      </c>
      <c r="U22" s="50" t="s">
        <v>31</v>
      </c>
    </row>
    <row r="23" ht="34" customHeight="1" spans="1:21">
      <c r="A23" s="49">
        <v>22</v>
      </c>
      <c r="B23" s="50" t="s">
        <v>66</v>
      </c>
      <c r="C23" s="50" t="s">
        <v>117</v>
      </c>
      <c r="D23" s="50" t="s">
        <v>118</v>
      </c>
      <c r="E23" s="50" t="s">
        <v>119</v>
      </c>
      <c r="F23" s="50">
        <v>34325</v>
      </c>
      <c r="G23" s="50">
        <v>34327.36</v>
      </c>
      <c r="H23" s="50" t="s">
        <v>25</v>
      </c>
      <c r="I23" s="50" t="s">
        <v>79</v>
      </c>
      <c r="J23" s="50" t="s">
        <v>27</v>
      </c>
      <c r="K23" s="50" t="s">
        <v>120</v>
      </c>
      <c r="L23" s="50"/>
      <c r="M23" s="52">
        <v>0</v>
      </c>
      <c r="N23" s="50" t="s">
        <v>71</v>
      </c>
      <c r="O23" s="50"/>
      <c r="P23" s="50">
        <v>2</v>
      </c>
      <c r="Q23" s="50" t="s">
        <v>31</v>
      </c>
      <c r="R23" s="50">
        <v>2</v>
      </c>
      <c r="S23" s="50" t="s">
        <v>31</v>
      </c>
      <c r="T23" s="49">
        <v>0</v>
      </c>
      <c r="U23" s="50" t="s">
        <v>31</v>
      </c>
    </row>
    <row r="24" ht="34" customHeight="1" spans="1:21">
      <c r="A24" s="49">
        <v>23</v>
      </c>
      <c r="B24" s="50" t="s">
        <v>66</v>
      </c>
      <c r="C24" s="50" t="s">
        <v>121</v>
      </c>
      <c r="D24" s="50" t="s">
        <v>122</v>
      </c>
      <c r="E24" s="50" t="s">
        <v>123</v>
      </c>
      <c r="F24" s="50">
        <v>10950</v>
      </c>
      <c r="G24" s="50">
        <v>10952.36</v>
      </c>
      <c r="H24" s="50" t="s">
        <v>25</v>
      </c>
      <c r="I24" s="50" t="s">
        <v>79</v>
      </c>
      <c r="J24" s="50" t="s">
        <v>27</v>
      </c>
      <c r="K24" s="50" t="s">
        <v>124</v>
      </c>
      <c r="L24" s="50"/>
      <c r="M24" s="52">
        <v>0</v>
      </c>
      <c r="N24" s="50" t="s">
        <v>71</v>
      </c>
      <c r="O24" s="50"/>
      <c r="P24" s="50">
        <v>2</v>
      </c>
      <c r="Q24" s="50" t="s">
        <v>31</v>
      </c>
      <c r="R24" s="50">
        <v>2</v>
      </c>
      <c r="S24" s="50" t="s">
        <v>31</v>
      </c>
      <c r="T24" s="49">
        <v>0</v>
      </c>
      <c r="U24" s="50" t="s">
        <v>31</v>
      </c>
    </row>
    <row r="25" ht="34" customHeight="1" spans="1:21">
      <c r="A25" s="49">
        <v>24</v>
      </c>
      <c r="B25" s="50" t="s">
        <v>66</v>
      </c>
      <c r="C25" s="50" t="s">
        <v>125</v>
      </c>
      <c r="D25" s="50" t="s">
        <v>126</v>
      </c>
      <c r="E25" s="50" t="s">
        <v>127</v>
      </c>
      <c r="F25" s="50">
        <v>34325</v>
      </c>
      <c r="G25" s="50">
        <v>34327.36</v>
      </c>
      <c r="H25" s="50" t="s">
        <v>25</v>
      </c>
      <c r="I25" s="50" t="s">
        <v>60</v>
      </c>
      <c r="J25" s="50" t="s">
        <v>27</v>
      </c>
      <c r="K25" s="50" t="s">
        <v>128</v>
      </c>
      <c r="L25" s="50"/>
      <c r="M25" s="52">
        <v>0</v>
      </c>
      <c r="N25" s="50" t="s">
        <v>71</v>
      </c>
      <c r="O25" s="50"/>
      <c r="P25" s="50">
        <v>2</v>
      </c>
      <c r="Q25" s="50" t="s">
        <v>31</v>
      </c>
      <c r="R25" s="50">
        <v>2</v>
      </c>
      <c r="S25" s="50" t="s">
        <v>31</v>
      </c>
      <c r="T25" s="49">
        <v>0</v>
      </c>
      <c r="U25" s="50" t="s">
        <v>31</v>
      </c>
    </row>
    <row r="26" ht="34" customHeight="1" spans="1:21">
      <c r="A26" s="49">
        <v>25</v>
      </c>
      <c r="B26" s="50" t="s">
        <v>66</v>
      </c>
      <c r="C26" s="50" t="s">
        <v>129</v>
      </c>
      <c r="D26" s="50" t="s">
        <v>130</v>
      </c>
      <c r="E26" s="50" t="s">
        <v>131</v>
      </c>
      <c r="F26" s="50">
        <v>34325</v>
      </c>
      <c r="G26" s="50">
        <v>34327.36</v>
      </c>
      <c r="H26" s="50" t="s">
        <v>25</v>
      </c>
      <c r="I26" s="50" t="s">
        <v>79</v>
      </c>
      <c r="J26" s="50" t="s">
        <v>27</v>
      </c>
      <c r="K26" s="50" t="s">
        <v>70</v>
      </c>
      <c r="L26" s="50"/>
      <c r="M26" s="52">
        <v>0</v>
      </c>
      <c r="N26" s="50" t="s">
        <v>71</v>
      </c>
      <c r="O26" s="50"/>
      <c r="P26" s="50">
        <v>2</v>
      </c>
      <c r="Q26" s="50" t="s">
        <v>31</v>
      </c>
      <c r="R26" s="50">
        <v>2</v>
      </c>
      <c r="S26" s="50" t="s">
        <v>31</v>
      </c>
      <c r="T26" s="49">
        <v>0</v>
      </c>
      <c r="U26" s="50" t="s">
        <v>31</v>
      </c>
    </row>
    <row r="27" ht="34" customHeight="1" spans="1:21">
      <c r="A27" s="49">
        <v>26</v>
      </c>
      <c r="B27" s="50" t="s">
        <v>66</v>
      </c>
      <c r="C27" s="50" t="s">
        <v>132</v>
      </c>
      <c r="D27" s="50" t="s">
        <v>133</v>
      </c>
      <c r="E27" s="50" t="s">
        <v>134</v>
      </c>
      <c r="F27" s="50">
        <v>10350</v>
      </c>
      <c r="G27" s="50">
        <v>10352.36</v>
      </c>
      <c r="H27" s="50" t="s">
        <v>25</v>
      </c>
      <c r="I27" s="50" t="s">
        <v>60</v>
      </c>
      <c r="J27" s="50" t="s">
        <v>135</v>
      </c>
      <c r="K27" s="50" t="s">
        <v>136</v>
      </c>
      <c r="L27" s="50"/>
      <c r="M27" s="52">
        <v>0</v>
      </c>
      <c r="N27" s="50" t="s">
        <v>71</v>
      </c>
      <c r="O27" s="50"/>
      <c r="P27" s="50">
        <v>2</v>
      </c>
      <c r="Q27" s="50" t="s">
        <v>31</v>
      </c>
      <c r="R27" s="50">
        <v>2</v>
      </c>
      <c r="S27" s="50" t="s">
        <v>31</v>
      </c>
      <c r="T27" s="49">
        <v>0</v>
      </c>
      <c r="U27" s="50" t="s">
        <v>31</v>
      </c>
    </row>
    <row r="28" ht="34" customHeight="1" spans="1:21">
      <c r="A28" s="49">
        <v>27</v>
      </c>
      <c r="B28" s="50" t="s">
        <v>66</v>
      </c>
      <c r="C28" s="50" t="s">
        <v>137</v>
      </c>
      <c r="D28" s="50" t="s">
        <v>138</v>
      </c>
      <c r="E28" s="50" t="s">
        <v>139</v>
      </c>
      <c r="F28" s="50">
        <v>34325</v>
      </c>
      <c r="G28" s="50">
        <v>34327.36</v>
      </c>
      <c r="H28" s="50" t="s">
        <v>25</v>
      </c>
      <c r="I28" s="50" t="s">
        <v>60</v>
      </c>
      <c r="J28" s="50" t="s">
        <v>135</v>
      </c>
      <c r="K28" s="50" t="s">
        <v>140</v>
      </c>
      <c r="L28" s="50"/>
      <c r="M28" s="52">
        <v>0</v>
      </c>
      <c r="N28" s="50" t="s">
        <v>71</v>
      </c>
      <c r="O28" s="50"/>
      <c r="P28" s="50">
        <v>2</v>
      </c>
      <c r="Q28" s="50" t="s">
        <v>31</v>
      </c>
      <c r="R28" s="50">
        <v>2</v>
      </c>
      <c r="S28" s="50" t="s">
        <v>31</v>
      </c>
      <c r="T28" s="49">
        <v>0</v>
      </c>
      <c r="U28" s="50" t="s">
        <v>31</v>
      </c>
    </row>
    <row r="29" ht="34" customHeight="1" spans="1:21">
      <c r="A29" s="49">
        <v>28</v>
      </c>
      <c r="B29" s="50" t="s">
        <v>66</v>
      </c>
      <c r="C29" s="50" t="s">
        <v>141</v>
      </c>
      <c r="D29" s="50" t="s">
        <v>142</v>
      </c>
      <c r="E29" s="50" t="s">
        <v>143</v>
      </c>
      <c r="F29" s="50">
        <v>10950</v>
      </c>
      <c r="G29" s="50">
        <v>10952.36</v>
      </c>
      <c r="H29" s="50" t="s">
        <v>25</v>
      </c>
      <c r="I29" s="50" t="s">
        <v>60</v>
      </c>
      <c r="J29" s="50" t="s">
        <v>135</v>
      </c>
      <c r="K29" s="50" t="s">
        <v>144</v>
      </c>
      <c r="L29" s="50"/>
      <c r="M29" s="52">
        <v>0</v>
      </c>
      <c r="N29" s="50" t="s">
        <v>71</v>
      </c>
      <c r="O29" s="50"/>
      <c r="P29" s="50">
        <v>2</v>
      </c>
      <c r="Q29" s="50" t="s">
        <v>31</v>
      </c>
      <c r="R29" s="50">
        <v>2</v>
      </c>
      <c r="S29" s="50" t="s">
        <v>31</v>
      </c>
      <c r="T29" s="49">
        <v>0</v>
      </c>
      <c r="U29" s="50" t="s">
        <v>31</v>
      </c>
    </row>
    <row r="30" ht="34" customHeight="1" spans="1:21">
      <c r="A30" s="49">
        <v>29</v>
      </c>
      <c r="B30" s="50" t="s">
        <v>66</v>
      </c>
      <c r="C30" s="50" t="s">
        <v>145</v>
      </c>
      <c r="D30" s="50" t="s">
        <v>146</v>
      </c>
      <c r="E30" s="50" t="s">
        <v>147</v>
      </c>
      <c r="F30" s="50">
        <v>34325</v>
      </c>
      <c r="G30" s="50">
        <v>34327.36</v>
      </c>
      <c r="H30" s="50" t="s">
        <v>25</v>
      </c>
      <c r="I30" s="50" t="s">
        <v>60</v>
      </c>
      <c r="J30" s="50" t="s">
        <v>135</v>
      </c>
      <c r="K30" s="50" t="s">
        <v>148</v>
      </c>
      <c r="L30" s="50"/>
      <c r="M30" s="52">
        <v>0</v>
      </c>
      <c r="N30" s="50" t="s">
        <v>71</v>
      </c>
      <c r="O30" s="50"/>
      <c r="P30" s="50">
        <v>2</v>
      </c>
      <c r="Q30" s="50" t="s">
        <v>31</v>
      </c>
      <c r="R30" s="50">
        <v>2</v>
      </c>
      <c r="S30" s="50" t="s">
        <v>31</v>
      </c>
      <c r="T30" s="49">
        <v>0</v>
      </c>
      <c r="U30" s="50" t="s">
        <v>31</v>
      </c>
    </row>
    <row r="31" ht="34" customHeight="1" spans="1:21">
      <c r="A31" s="49">
        <v>30</v>
      </c>
      <c r="B31" s="50" t="s">
        <v>66</v>
      </c>
      <c r="C31" s="50" t="s">
        <v>149</v>
      </c>
      <c r="D31" s="50" t="s">
        <v>150</v>
      </c>
      <c r="E31" s="50" t="s">
        <v>151</v>
      </c>
      <c r="F31" s="50">
        <v>72450</v>
      </c>
      <c r="G31" s="50">
        <v>72452.36</v>
      </c>
      <c r="H31" s="50" t="s">
        <v>25</v>
      </c>
      <c r="I31" s="50" t="s">
        <v>60</v>
      </c>
      <c r="J31" s="50" t="s">
        <v>135</v>
      </c>
      <c r="K31" s="50" t="s">
        <v>152</v>
      </c>
      <c r="L31" s="50"/>
      <c r="M31" s="52">
        <v>0</v>
      </c>
      <c r="N31" s="50" t="s">
        <v>71</v>
      </c>
      <c r="O31" s="50"/>
      <c r="P31" s="50">
        <v>2</v>
      </c>
      <c r="Q31" s="50" t="s">
        <v>31</v>
      </c>
      <c r="R31" s="50">
        <v>2</v>
      </c>
      <c r="S31" s="50" t="s">
        <v>31</v>
      </c>
      <c r="T31" s="49">
        <v>0</v>
      </c>
      <c r="U31" s="50" t="s">
        <v>31</v>
      </c>
    </row>
    <row r="32" ht="34" customHeight="1" spans="1:21">
      <c r="A32" s="49">
        <v>31</v>
      </c>
      <c r="B32" s="50" t="s">
        <v>66</v>
      </c>
      <c r="C32" s="50" t="s">
        <v>153</v>
      </c>
      <c r="D32" s="50" t="s">
        <v>154</v>
      </c>
      <c r="E32" s="50" t="s">
        <v>155</v>
      </c>
      <c r="F32" s="50">
        <v>74150</v>
      </c>
      <c r="G32" s="50">
        <v>74152.36</v>
      </c>
      <c r="H32" s="50" t="s">
        <v>25</v>
      </c>
      <c r="I32" s="50" t="s">
        <v>60</v>
      </c>
      <c r="J32" s="50" t="s">
        <v>135</v>
      </c>
      <c r="K32" s="50" t="s">
        <v>156</v>
      </c>
      <c r="L32" s="50"/>
      <c r="M32" s="52">
        <v>0</v>
      </c>
      <c r="N32" s="50" t="s">
        <v>71</v>
      </c>
      <c r="O32" s="50"/>
      <c r="P32" s="50">
        <v>2</v>
      </c>
      <c r="Q32" s="50" t="s">
        <v>31</v>
      </c>
      <c r="R32" s="50">
        <v>2</v>
      </c>
      <c r="S32" s="50" t="s">
        <v>31</v>
      </c>
      <c r="T32" s="49">
        <v>0</v>
      </c>
      <c r="U32" s="50" t="s">
        <v>31</v>
      </c>
    </row>
    <row r="33" ht="34" customHeight="1" spans="1:21">
      <c r="A33" s="49">
        <v>32</v>
      </c>
      <c r="B33" s="50" t="s">
        <v>66</v>
      </c>
      <c r="C33" s="50" t="s">
        <v>157</v>
      </c>
      <c r="D33" s="50" t="s">
        <v>158</v>
      </c>
      <c r="E33" s="50" t="s">
        <v>159</v>
      </c>
      <c r="F33" s="50">
        <v>36100</v>
      </c>
      <c r="G33" s="50">
        <v>36102.36</v>
      </c>
      <c r="H33" s="50" t="s">
        <v>25</v>
      </c>
      <c r="I33" s="50" t="s">
        <v>60</v>
      </c>
      <c r="J33" s="50" t="s">
        <v>135</v>
      </c>
      <c r="K33" s="50" t="s">
        <v>160</v>
      </c>
      <c r="L33" s="50"/>
      <c r="M33" s="52">
        <v>0</v>
      </c>
      <c r="N33" s="50" t="s">
        <v>71</v>
      </c>
      <c r="O33" s="50"/>
      <c r="P33" s="50">
        <v>2</v>
      </c>
      <c r="Q33" s="50" t="s">
        <v>31</v>
      </c>
      <c r="R33" s="50">
        <v>2</v>
      </c>
      <c r="S33" s="50" t="s">
        <v>31</v>
      </c>
      <c r="T33" s="49">
        <v>0</v>
      </c>
      <c r="U33" s="50" t="s">
        <v>31</v>
      </c>
    </row>
    <row r="34" ht="34" customHeight="1" spans="1:21">
      <c r="A34" s="49">
        <v>33</v>
      </c>
      <c r="B34" s="50" t="s">
        <v>66</v>
      </c>
      <c r="C34" s="50" t="s">
        <v>161</v>
      </c>
      <c r="D34" s="50" t="s">
        <v>162</v>
      </c>
      <c r="E34" s="50" t="s">
        <v>163</v>
      </c>
      <c r="F34" s="50">
        <v>72150</v>
      </c>
      <c r="G34" s="50">
        <v>72152.36</v>
      </c>
      <c r="H34" s="50" t="s">
        <v>25</v>
      </c>
      <c r="I34" s="50" t="s">
        <v>60</v>
      </c>
      <c r="J34" s="50" t="s">
        <v>135</v>
      </c>
      <c r="K34" s="50" t="s">
        <v>164</v>
      </c>
      <c r="L34" s="50"/>
      <c r="M34" s="52">
        <v>0</v>
      </c>
      <c r="N34" s="50" t="s">
        <v>71</v>
      </c>
      <c r="O34" s="50"/>
      <c r="P34" s="50">
        <v>2</v>
      </c>
      <c r="Q34" s="50" t="s">
        <v>31</v>
      </c>
      <c r="R34" s="50">
        <v>2</v>
      </c>
      <c r="S34" s="50" t="s">
        <v>31</v>
      </c>
      <c r="T34" s="49">
        <v>0</v>
      </c>
      <c r="U34" s="50" t="s">
        <v>31</v>
      </c>
    </row>
    <row r="35" ht="34" customHeight="1" spans="1:21">
      <c r="A35" s="49">
        <v>34</v>
      </c>
      <c r="B35" s="50" t="s">
        <v>66</v>
      </c>
      <c r="C35" s="50" t="s">
        <v>165</v>
      </c>
      <c r="D35" s="50" t="s">
        <v>166</v>
      </c>
      <c r="E35" s="50" t="s">
        <v>167</v>
      </c>
      <c r="F35" s="50">
        <v>10950</v>
      </c>
      <c r="G35" s="50">
        <v>10952.36</v>
      </c>
      <c r="H35" s="50" t="s">
        <v>25</v>
      </c>
      <c r="I35" s="50" t="s">
        <v>60</v>
      </c>
      <c r="J35" s="50" t="s">
        <v>135</v>
      </c>
      <c r="K35" s="50" t="s">
        <v>168</v>
      </c>
      <c r="L35" s="50"/>
      <c r="M35" s="52">
        <v>0</v>
      </c>
      <c r="N35" s="50" t="s">
        <v>71</v>
      </c>
      <c r="O35" s="50"/>
      <c r="P35" s="50">
        <v>2</v>
      </c>
      <c r="Q35" s="50" t="s">
        <v>31</v>
      </c>
      <c r="R35" s="50">
        <v>2</v>
      </c>
      <c r="S35" s="50" t="s">
        <v>31</v>
      </c>
      <c r="T35" s="49">
        <v>0</v>
      </c>
      <c r="U35" s="50" t="s">
        <v>31</v>
      </c>
    </row>
    <row r="36" ht="34" customHeight="1" spans="1:21">
      <c r="A36" s="49">
        <v>35</v>
      </c>
      <c r="B36" s="50" t="s">
        <v>66</v>
      </c>
      <c r="C36" s="50" t="s">
        <v>169</v>
      </c>
      <c r="D36" s="50" t="s">
        <v>170</v>
      </c>
      <c r="E36" s="50" t="s">
        <v>171</v>
      </c>
      <c r="F36" s="50">
        <v>10350</v>
      </c>
      <c r="G36" s="50">
        <v>10352.36</v>
      </c>
      <c r="H36" s="50" t="s">
        <v>25</v>
      </c>
      <c r="I36" s="50" t="s">
        <v>60</v>
      </c>
      <c r="J36" s="50" t="s">
        <v>135</v>
      </c>
      <c r="K36" s="50" t="s">
        <v>172</v>
      </c>
      <c r="L36" s="50"/>
      <c r="M36" s="52">
        <v>0</v>
      </c>
      <c r="N36" s="50" t="s">
        <v>71</v>
      </c>
      <c r="O36" s="50"/>
      <c r="P36" s="50">
        <v>2</v>
      </c>
      <c r="Q36" s="50" t="s">
        <v>31</v>
      </c>
      <c r="R36" s="50">
        <v>2</v>
      </c>
      <c r="S36" s="50" t="s">
        <v>31</v>
      </c>
      <c r="T36" s="49">
        <v>0</v>
      </c>
      <c r="U36" s="50" t="s">
        <v>31</v>
      </c>
    </row>
    <row r="37" ht="34" customHeight="1" spans="1:21">
      <c r="A37" s="49">
        <v>36</v>
      </c>
      <c r="B37" s="50" t="s">
        <v>66</v>
      </c>
      <c r="C37" s="50" t="s">
        <v>173</v>
      </c>
      <c r="D37" s="50" t="s">
        <v>174</v>
      </c>
      <c r="E37" s="50" t="s">
        <v>175</v>
      </c>
      <c r="F37" s="50">
        <v>34325</v>
      </c>
      <c r="G37" s="50">
        <v>34327.36</v>
      </c>
      <c r="H37" s="50" t="s">
        <v>25</v>
      </c>
      <c r="I37" s="50" t="s">
        <v>60</v>
      </c>
      <c r="J37" s="50" t="s">
        <v>135</v>
      </c>
      <c r="K37" s="50" t="s">
        <v>176</v>
      </c>
      <c r="L37" s="50"/>
      <c r="M37" s="52">
        <v>0</v>
      </c>
      <c r="N37" s="50" t="s">
        <v>71</v>
      </c>
      <c r="O37" s="50"/>
      <c r="P37" s="50">
        <v>2</v>
      </c>
      <c r="Q37" s="50" t="s">
        <v>31</v>
      </c>
      <c r="R37" s="50">
        <v>2</v>
      </c>
      <c r="S37" s="50" t="s">
        <v>31</v>
      </c>
      <c r="T37" s="49">
        <v>0</v>
      </c>
      <c r="U37" s="50" t="s">
        <v>31</v>
      </c>
    </row>
    <row r="38" ht="34" customHeight="1" spans="1:21">
      <c r="A38" s="49">
        <v>37</v>
      </c>
      <c r="B38" s="50" t="s">
        <v>66</v>
      </c>
      <c r="C38" s="50" t="s">
        <v>177</v>
      </c>
      <c r="D38" s="50" t="s">
        <v>178</v>
      </c>
      <c r="E38" s="50" t="s">
        <v>179</v>
      </c>
      <c r="F38" s="50">
        <v>34325</v>
      </c>
      <c r="G38" s="50">
        <v>34327.36</v>
      </c>
      <c r="H38" s="50" t="s">
        <v>25</v>
      </c>
      <c r="I38" s="50" t="s">
        <v>60</v>
      </c>
      <c r="J38" s="50" t="s">
        <v>135</v>
      </c>
      <c r="K38" s="50" t="s">
        <v>180</v>
      </c>
      <c r="L38" s="50"/>
      <c r="M38" s="52">
        <v>0</v>
      </c>
      <c r="N38" s="50" t="s">
        <v>71</v>
      </c>
      <c r="O38" s="50"/>
      <c r="P38" s="50">
        <v>2</v>
      </c>
      <c r="Q38" s="50" t="s">
        <v>31</v>
      </c>
      <c r="R38" s="50">
        <v>2</v>
      </c>
      <c r="S38" s="50" t="s">
        <v>31</v>
      </c>
      <c r="T38" s="49">
        <v>0</v>
      </c>
      <c r="U38" s="50" t="s">
        <v>31</v>
      </c>
    </row>
    <row r="39" ht="34" customHeight="1" spans="1:2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54"/>
      <c r="N39" s="49"/>
      <c r="O39" s="49"/>
      <c r="P39" s="49"/>
      <c r="Q39" s="49"/>
      <c r="R39" s="49"/>
      <c r="S39" s="49"/>
      <c r="T39" s="49"/>
      <c r="U39" s="4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96"/>
  <sheetViews>
    <sheetView tabSelected="1" topLeftCell="S1" workbookViewId="0">
      <selection activeCell="W4" sqref="W4"/>
    </sheetView>
  </sheetViews>
  <sheetFormatPr defaultColWidth="6.11111111111111" defaultRowHeight="12"/>
  <cols>
    <col min="1" max="1" width="5.11111111111111" style="30" customWidth="1"/>
    <col min="2" max="2" width="22.2222222222222" style="30" customWidth="1"/>
    <col min="3" max="3" width="16.8888888888889" style="30" customWidth="1"/>
    <col min="4" max="4" width="17.6666666666667" style="30" customWidth="1"/>
    <col min="5" max="5" width="15.6666666666667" style="30" customWidth="1"/>
    <col min="6" max="6" width="19" style="30" customWidth="1"/>
    <col min="7" max="7" width="10.3333333333333" style="30" customWidth="1"/>
    <col min="8" max="8" width="13.2222222222222" style="30" customWidth="1"/>
    <col min="9" max="9" width="13.6666666666667" style="30" customWidth="1"/>
    <col min="10" max="10" width="12.3333333333333" style="30" customWidth="1"/>
    <col min="11" max="11" width="15.3333333333333" style="30" customWidth="1"/>
    <col min="12" max="12" width="25" style="30" customWidth="1"/>
    <col min="13" max="13" width="8.77777777777778" style="30" customWidth="1"/>
    <col min="14" max="14" width="12.5555555555556" style="31" customWidth="1"/>
    <col min="15" max="15" width="16.4444444444444" style="30" customWidth="1"/>
    <col min="16" max="16" width="12.3333333333333" style="30" customWidth="1"/>
    <col min="17" max="17" width="14" style="30" customWidth="1"/>
    <col min="18" max="18" width="18.3333333333333" style="30" customWidth="1"/>
    <col min="19" max="19" width="12.4444444444444" style="30" customWidth="1"/>
    <col min="20" max="20" width="16.7777777777778" style="30" customWidth="1"/>
    <col min="21" max="21" width="12.6666666666667" style="30" customWidth="1"/>
    <col min="22" max="22" width="16.4444444444444" style="30" customWidth="1"/>
    <col min="23" max="23" width="16.6666666666667" style="30" customWidth="1"/>
    <col min="24" max="24" width="14.8888888888889" style="30" customWidth="1"/>
    <col min="25" max="25" width="15" style="30" customWidth="1"/>
    <col min="26" max="26" width="10.5555555555556" style="30" customWidth="1"/>
    <col min="27" max="27" width="16.7777777777778" style="30" customWidth="1"/>
    <col min="28" max="28" width="18.2222222222222" style="30" customWidth="1"/>
    <col min="29" max="29" width="10.5555555555556" style="30" customWidth="1"/>
    <col min="30" max="30" width="19.7777777777778" style="30" customWidth="1"/>
    <col min="31" max="31" width="22.5555555555556" style="30" customWidth="1"/>
    <col min="32" max="16384" width="6.11111111111111" style="32" customWidth="1"/>
  </cols>
  <sheetData>
    <row r="1" s="30" customFormat="1" ht="12.75" spans="1:32">
      <c r="A1" s="30" t="s">
        <v>181</v>
      </c>
      <c r="B1" s="33" t="s">
        <v>1</v>
      </c>
      <c r="C1" s="33" t="s">
        <v>2</v>
      </c>
      <c r="D1" s="34" t="s">
        <v>182</v>
      </c>
      <c r="E1" s="33" t="s">
        <v>183</v>
      </c>
      <c r="F1" s="33" t="s">
        <v>4</v>
      </c>
      <c r="G1" s="33" t="s">
        <v>5</v>
      </c>
      <c r="H1" s="33" t="s">
        <v>6</v>
      </c>
      <c r="I1" s="33" t="s">
        <v>7</v>
      </c>
      <c r="J1" s="33" t="s">
        <v>8</v>
      </c>
      <c r="K1" s="33" t="s">
        <v>9</v>
      </c>
      <c r="L1" s="33" t="s">
        <v>10</v>
      </c>
      <c r="M1" s="33" t="s">
        <v>11</v>
      </c>
      <c r="N1" s="39" t="s">
        <v>12</v>
      </c>
      <c r="O1" s="33" t="s">
        <v>13</v>
      </c>
      <c r="P1" s="33" t="s">
        <v>14</v>
      </c>
      <c r="Q1" s="33" t="s">
        <v>15</v>
      </c>
      <c r="R1" s="33" t="s">
        <v>16</v>
      </c>
      <c r="S1" s="33" t="s">
        <v>17</v>
      </c>
      <c r="T1" s="33" t="s">
        <v>18</v>
      </c>
      <c r="U1" s="33" t="s">
        <v>19</v>
      </c>
      <c r="V1" s="33" t="s">
        <v>20</v>
      </c>
      <c r="W1" s="30" t="s">
        <v>184</v>
      </c>
      <c r="X1" s="30" t="s">
        <v>185</v>
      </c>
      <c r="Y1" s="30" t="s">
        <v>186</v>
      </c>
      <c r="Z1" s="30" t="s">
        <v>187</v>
      </c>
      <c r="AA1" s="30" t="s">
        <v>188</v>
      </c>
      <c r="AB1" s="30" t="s">
        <v>189</v>
      </c>
      <c r="AC1" s="30" t="s">
        <v>190</v>
      </c>
      <c r="AD1" s="30" t="s">
        <v>191</v>
      </c>
      <c r="AE1" s="30" t="s">
        <v>192</v>
      </c>
      <c r="AF1" s="32"/>
    </row>
    <row r="2" s="30" customFormat="1" ht="24.75" spans="1:32">
      <c r="A2" s="35">
        <v>1</v>
      </c>
      <c r="B2" s="35" t="s">
        <v>21</v>
      </c>
      <c r="C2" s="36" t="s">
        <v>22</v>
      </c>
      <c r="D2" s="37">
        <v>45748</v>
      </c>
      <c r="E2" s="35" t="s">
        <v>193</v>
      </c>
      <c r="F2" s="35" t="s">
        <v>24</v>
      </c>
      <c r="G2" s="35">
        <v>3800</v>
      </c>
      <c r="H2" s="35">
        <v>3802.36</v>
      </c>
      <c r="I2" s="35" t="s">
        <v>25</v>
      </c>
      <c r="J2" s="35" t="s">
        <v>26</v>
      </c>
      <c r="K2" s="35" t="s">
        <v>27</v>
      </c>
      <c r="L2" s="35" t="s">
        <v>28</v>
      </c>
      <c r="M2" s="35"/>
      <c r="N2" s="40">
        <v>0</v>
      </c>
      <c r="O2" s="35" t="s">
        <v>30</v>
      </c>
      <c r="P2" s="41" t="str">
        <f t="shared" ref="P2:P38" si="0">K2</f>
        <v>SUCCESS</v>
      </c>
      <c r="Q2" s="35">
        <v>2</v>
      </c>
      <c r="R2" s="35" t="s">
        <v>31</v>
      </c>
      <c r="S2" s="35">
        <v>2</v>
      </c>
      <c r="T2" s="35" t="s">
        <v>31</v>
      </c>
      <c r="U2" s="35">
        <v>0</v>
      </c>
      <c r="V2" s="35" t="s">
        <v>31</v>
      </c>
      <c r="W2" s="43">
        <f>IF(Table3[[#This Row],[Merchant Pricing Type]]="FLAT",Table3[[#This Row],[Merchant Pricing]],Table3[[#This Row],[Transaction Amt]]*Table3[[#This Row],[Merchant Pricing]]/100)</f>
        <v>2</v>
      </c>
      <c r="X2" s="43">
        <f>IF(Table3[[#This Row],[Partner Pricing Type]]="FLAT",Table3[[#This Row],[Partner Pricing]],Table3[[#This Row],[Transaction Amt]]*Table3[[#This Row],[Partner Pricing]]/100)</f>
        <v>2</v>
      </c>
      <c r="Y2" s="43">
        <f>IF(Table3[[#This Row],[Edviron Buying type]]="FLAT",Table3[[#This Row],[Edviron Buying]],Table3[[#This Row],[Transaction Amt]]*Table3[[#This Row],[Edviron Buying]]/100)</f>
        <v>0</v>
      </c>
      <c r="Z2" s="44">
        <f t="shared" ref="Z2:Z38" si="1">W2-X2</f>
        <v>0</v>
      </c>
      <c r="AA2" s="44">
        <f t="shared" ref="AA2:AA38" si="2">X2-Y2</f>
        <v>2</v>
      </c>
      <c r="AB2" s="44">
        <f t="shared" ref="AB2:AB38" si="3">Z2+AA2</f>
        <v>2</v>
      </c>
      <c r="AC2" s="45">
        <f t="shared" ref="AC2:AC38" si="4">H2-N2</f>
        <v>3802.36</v>
      </c>
      <c r="AD2" s="44">
        <f t="shared" ref="AD2:AD38" si="5">Z2</f>
        <v>0</v>
      </c>
      <c r="AE2" s="44">
        <f t="shared" ref="AE2:AE38" si="6">AA2</f>
        <v>2</v>
      </c>
      <c r="AF2" s="32"/>
    </row>
    <row r="3" s="30" customFormat="1" ht="12.75" spans="1:32">
      <c r="A3" s="35">
        <v>2</v>
      </c>
      <c r="B3" s="35" t="s">
        <v>32</v>
      </c>
      <c r="C3" s="36" t="s">
        <v>33</v>
      </c>
      <c r="D3" s="38">
        <v>45778</v>
      </c>
      <c r="E3" s="35" t="s">
        <v>194</v>
      </c>
      <c r="F3" s="35" t="s">
        <v>35</v>
      </c>
      <c r="G3" s="35">
        <v>15000</v>
      </c>
      <c r="H3" s="35">
        <v>15002.36</v>
      </c>
      <c r="I3" s="35" t="s">
        <v>25</v>
      </c>
      <c r="J3" s="35" t="s">
        <v>26</v>
      </c>
      <c r="K3" s="35" t="s">
        <v>27</v>
      </c>
      <c r="L3" s="42" t="s">
        <v>36</v>
      </c>
      <c r="M3" s="35"/>
      <c r="N3" s="40">
        <v>0</v>
      </c>
      <c r="O3" s="35" t="s">
        <v>30</v>
      </c>
      <c r="P3" s="41" t="str">
        <f t="shared" si="0"/>
        <v>SUCCESS</v>
      </c>
      <c r="Q3" s="35">
        <v>2</v>
      </c>
      <c r="R3" s="35" t="s">
        <v>31</v>
      </c>
      <c r="S3" s="35">
        <v>2</v>
      </c>
      <c r="T3" s="35" t="s">
        <v>31</v>
      </c>
      <c r="U3" s="35">
        <v>0</v>
      </c>
      <c r="V3" s="35" t="s">
        <v>31</v>
      </c>
      <c r="W3" s="44">
        <f>IF(Table3[[#This Row],[Merchant Pricing Type]]="FLAT",Table3[[#This Row],[Merchant Pricing]],Table3[[#This Row],[Transaction Amt]]*Table3[[#This Row],[Merchant Pricing]]/100)</f>
        <v>2</v>
      </c>
      <c r="X3" s="44">
        <f>IF(Table3[[#This Row],[Partner Pricing Type]]="FLAT",Table3[[#This Row],[Partner Pricing]],Table3[[#This Row],[Transaction Amt]]*Table3[[#This Row],[Partner Pricing]]/100)</f>
        <v>2</v>
      </c>
      <c r="Y3" s="44">
        <f>IF(Table3[[#This Row],[Edviron Buying type]]="FLAT",Table3[[#This Row],[Edviron Buying]],Table3[[#This Row],[Transaction Amt]]*Table3[[#This Row],[Edviron Buying]]/100)</f>
        <v>0</v>
      </c>
      <c r="Z3" s="44">
        <f t="shared" si="1"/>
        <v>0</v>
      </c>
      <c r="AA3" s="44">
        <f t="shared" si="2"/>
        <v>2</v>
      </c>
      <c r="AB3" s="44">
        <f t="shared" si="3"/>
        <v>2</v>
      </c>
      <c r="AC3" s="45">
        <f t="shared" si="4"/>
        <v>15002.36</v>
      </c>
      <c r="AD3" s="44">
        <f t="shared" si="5"/>
        <v>0</v>
      </c>
      <c r="AE3" s="44">
        <f t="shared" si="6"/>
        <v>2</v>
      </c>
      <c r="AF3" s="32"/>
    </row>
    <row r="4" s="30" customFormat="1" ht="24.75" spans="1:32">
      <c r="A4" s="35">
        <v>3</v>
      </c>
      <c r="B4" s="35" t="s">
        <v>32</v>
      </c>
      <c r="C4" s="36" t="s">
        <v>37</v>
      </c>
      <c r="D4" s="38">
        <v>45809</v>
      </c>
      <c r="E4" s="35" t="s">
        <v>195</v>
      </c>
      <c r="F4" s="35" t="s">
        <v>39</v>
      </c>
      <c r="G4" s="35">
        <v>10000</v>
      </c>
      <c r="H4" s="35">
        <v>10002.36</v>
      </c>
      <c r="I4" s="35" t="s">
        <v>25</v>
      </c>
      <c r="J4" s="35" t="s">
        <v>26</v>
      </c>
      <c r="K4" s="35" t="s">
        <v>27</v>
      </c>
      <c r="L4" s="42" t="s">
        <v>40</v>
      </c>
      <c r="M4" s="35"/>
      <c r="N4" s="40">
        <v>0</v>
      </c>
      <c r="O4" s="35" t="s">
        <v>30</v>
      </c>
      <c r="P4" s="41" t="str">
        <f t="shared" si="0"/>
        <v>SUCCESS</v>
      </c>
      <c r="Q4" s="35">
        <v>2</v>
      </c>
      <c r="R4" s="35" t="s">
        <v>31</v>
      </c>
      <c r="S4" s="35">
        <v>2</v>
      </c>
      <c r="T4" s="35" t="s">
        <v>31</v>
      </c>
      <c r="U4" s="35">
        <v>0</v>
      </c>
      <c r="V4" s="35" t="s">
        <v>31</v>
      </c>
      <c r="W4" s="44">
        <f>IF(Table3[[#This Row],[Merchant Pricing Type]]="FLAT",Table3[[#This Row],[Merchant Pricing]],Table3[[#This Row],[Transaction Amt]]*Table3[[#This Row],[Merchant Pricing]]/100)</f>
        <v>2</v>
      </c>
      <c r="X4" s="44">
        <f>IF(Table3[[#This Row],[Partner Pricing Type]]="FLAT",Table3[[#This Row],[Partner Pricing]],Table3[[#This Row],[Transaction Amt]]*Table3[[#This Row],[Partner Pricing]]/100)</f>
        <v>2</v>
      </c>
      <c r="Y4" s="44">
        <f>IF(Table3[[#This Row],[Edviron Buying type]]="FLAT",Table3[[#This Row],[Edviron Buying]],Table3[[#This Row],[Transaction Amt]]*Table3[[#This Row],[Edviron Buying]]/100)</f>
        <v>0</v>
      </c>
      <c r="Z4" s="44">
        <f t="shared" si="1"/>
        <v>0</v>
      </c>
      <c r="AA4" s="44">
        <f t="shared" si="2"/>
        <v>2</v>
      </c>
      <c r="AB4" s="44">
        <f t="shared" si="3"/>
        <v>2</v>
      </c>
      <c r="AC4" s="45">
        <f t="shared" si="4"/>
        <v>10002.36</v>
      </c>
      <c r="AD4" s="44">
        <f t="shared" si="5"/>
        <v>0</v>
      </c>
      <c r="AE4" s="44">
        <f t="shared" si="6"/>
        <v>2</v>
      </c>
      <c r="AF4" s="32"/>
    </row>
    <row r="5" s="30" customFormat="1" ht="24.75" spans="1:32">
      <c r="A5" s="35">
        <v>4</v>
      </c>
      <c r="B5" s="35" t="s">
        <v>32</v>
      </c>
      <c r="C5" s="36" t="s">
        <v>41</v>
      </c>
      <c r="D5" s="38">
        <v>45839</v>
      </c>
      <c r="E5" s="35" t="s">
        <v>196</v>
      </c>
      <c r="F5" s="35" t="s">
        <v>43</v>
      </c>
      <c r="G5" s="35">
        <v>5000</v>
      </c>
      <c r="H5" s="35">
        <v>5002.36</v>
      </c>
      <c r="I5" s="35" t="s">
        <v>25</v>
      </c>
      <c r="J5" s="35" t="s">
        <v>26</v>
      </c>
      <c r="K5" s="35" t="s">
        <v>27</v>
      </c>
      <c r="L5" s="42" t="s">
        <v>44</v>
      </c>
      <c r="M5" s="35"/>
      <c r="N5" s="40">
        <v>0</v>
      </c>
      <c r="O5" s="35" t="s">
        <v>30</v>
      </c>
      <c r="P5" s="41" t="str">
        <f t="shared" si="0"/>
        <v>SUCCESS</v>
      </c>
      <c r="Q5" s="35">
        <v>2</v>
      </c>
      <c r="R5" s="35" t="s">
        <v>31</v>
      </c>
      <c r="S5" s="35">
        <v>2</v>
      </c>
      <c r="T5" s="35" t="s">
        <v>31</v>
      </c>
      <c r="U5" s="35">
        <v>0</v>
      </c>
      <c r="V5" s="35" t="s">
        <v>31</v>
      </c>
      <c r="W5" s="44">
        <f>IF(Table3[[#This Row],[Merchant Pricing Type]]="FLAT",Table3[[#This Row],[Merchant Pricing]],Table3[[#This Row],[Transaction Amt]]*Table3[[#This Row],[Merchant Pricing]]/100)</f>
        <v>2</v>
      </c>
      <c r="X5" s="44">
        <f>IF(Table3[[#This Row],[Partner Pricing Type]]="FLAT",Table3[[#This Row],[Partner Pricing]],Table3[[#This Row],[Transaction Amt]]*Table3[[#This Row],[Partner Pricing]]/100)</f>
        <v>2</v>
      </c>
      <c r="Y5" s="44">
        <f>IF(Table3[[#This Row],[Edviron Buying type]]="FLAT",Table3[[#This Row],[Edviron Buying]],Table3[[#This Row],[Transaction Amt]]*Table3[[#This Row],[Edviron Buying]]/100)</f>
        <v>0</v>
      </c>
      <c r="Z5" s="44">
        <f t="shared" si="1"/>
        <v>0</v>
      </c>
      <c r="AA5" s="44">
        <f t="shared" si="2"/>
        <v>2</v>
      </c>
      <c r="AB5" s="44">
        <f t="shared" si="3"/>
        <v>2</v>
      </c>
      <c r="AC5" s="45">
        <f t="shared" si="4"/>
        <v>5002.36</v>
      </c>
      <c r="AD5" s="44">
        <f t="shared" si="5"/>
        <v>0</v>
      </c>
      <c r="AE5" s="44">
        <f t="shared" si="6"/>
        <v>2</v>
      </c>
      <c r="AF5" s="32"/>
    </row>
    <row r="6" s="30" customFormat="1" ht="24.75" spans="1:32">
      <c r="A6" s="35">
        <v>5</v>
      </c>
      <c r="B6" s="35" t="s">
        <v>32</v>
      </c>
      <c r="C6" s="36" t="s">
        <v>45</v>
      </c>
      <c r="D6" s="38">
        <v>45870</v>
      </c>
      <c r="E6" s="35" t="s">
        <v>197</v>
      </c>
      <c r="F6" s="35" t="s">
        <v>47</v>
      </c>
      <c r="G6" s="35">
        <v>5000</v>
      </c>
      <c r="H6" s="35">
        <v>5002.36</v>
      </c>
      <c r="I6" s="35" t="s">
        <v>25</v>
      </c>
      <c r="J6" s="35" t="s">
        <v>26</v>
      </c>
      <c r="K6" s="35" t="s">
        <v>27</v>
      </c>
      <c r="L6" s="42" t="s">
        <v>48</v>
      </c>
      <c r="M6" s="35"/>
      <c r="N6" s="40">
        <v>0</v>
      </c>
      <c r="O6" s="35" t="s">
        <v>30</v>
      </c>
      <c r="P6" s="41" t="str">
        <f t="shared" si="0"/>
        <v>SUCCESS</v>
      </c>
      <c r="Q6" s="35">
        <v>2</v>
      </c>
      <c r="R6" s="35" t="s">
        <v>31</v>
      </c>
      <c r="S6" s="35">
        <v>2</v>
      </c>
      <c r="T6" s="35" t="s">
        <v>31</v>
      </c>
      <c r="U6" s="35">
        <v>0</v>
      </c>
      <c r="V6" s="35" t="s">
        <v>31</v>
      </c>
      <c r="W6" s="44">
        <f>IF(Table3[[#This Row],[Merchant Pricing Type]]="FLAT",Table3[[#This Row],[Merchant Pricing]],Table3[[#This Row],[Transaction Amt]]*Table3[[#This Row],[Merchant Pricing]]/100)</f>
        <v>2</v>
      </c>
      <c r="X6" s="44">
        <f>IF(Table3[[#This Row],[Partner Pricing Type]]="FLAT",Table3[[#This Row],[Partner Pricing]],Table3[[#This Row],[Transaction Amt]]*Table3[[#This Row],[Partner Pricing]]/100)</f>
        <v>2</v>
      </c>
      <c r="Y6" s="44">
        <f>IF(Table3[[#This Row],[Edviron Buying type]]="FLAT",Table3[[#This Row],[Edviron Buying]],Table3[[#This Row],[Transaction Amt]]*Table3[[#This Row],[Edviron Buying]]/100)</f>
        <v>0</v>
      </c>
      <c r="Z6" s="44">
        <f t="shared" si="1"/>
        <v>0</v>
      </c>
      <c r="AA6" s="44">
        <f t="shared" si="2"/>
        <v>2</v>
      </c>
      <c r="AB6" s="44">
        <f t="shared" si="3"/>
        <v>2</v>
      </c>
      <c r="AC6" s="45">
        <f t="shared" si="4"/>
        <v>5002.36</v>
      </c>
      <c r="AD6" s="44">
        <f t="shared" si="5"/>
        <v>0</v>
      </c>
      <c r="AE6" s="44">
        <f t="shared" si="6"/>
        <v>2</v>
      </c>
      <c r="AF6" s="32"/>
    </row>
    <row r="7" s="30" customFormat="1" ht="24.75" spans="1:32">
      <c r="A7" s="35">
        <v>6</v>
      </c>
      <c r="B7" s="35" t="s">
        <v>32</v>
      </c>
      <c r="C7" s="36" t="s">
        <v>49</v>
      </c>
      <c r="D7" s="38">
        <v>45901</v>
      </c>
      <c r="E7" s="35" t="s">
        <v>198</v>
      </c>
      <c r="F7" s="35" t="s">
        <v>51</v>
      </c>
      <c r="G7" s="35">
        <v>10000</v>
      </c>
      <c r="H7" s="35">
        <v>10002.36</v>
      </c>
      <c r="I7" s="35" t="s">
        <v>25</v>
      </c>
      <c r="J7" s="35" t="s">
        <v>26</v>
      </c>
      <c r="K7" s="35" t="s">
        <v>27</v>
      </c>
      <c r="L7" s="42" t="s">
        <v>52</v>
      </c>
      <c r="M7" s="35"/>
      <c r="N7" s="40">
        <v>0</v>
      </c>
      <c r="O7" s="35" t="s">
        <v>30</v>
      </c>
      <c r="P7" s="41" t="str">
        <f t="shared" si="0"/>
        <v>SUCCESS</v>
      </c>
      <c r="Q7" s="35">
        <v>2</v>
      </c>
      <c r="R7" s="35" t="s">
        <v>31</v>
      </c>
      <c r="S7" s="35">
        <v>2</v>
      </c>
      <c r="T7" s="35" t="s">
        <v>31</v>
      </c>
      <c r="U7" s="35">
        <v>0</v>
      </c>
      <c r="V7" s="35" t="s">
        <v>31</v>
      </c>
      <c r="W7" s="44">
        <f>IF(Table3[[#This Row],[Merchant Pricing Type]]="FLAT",Table3[[#This Row],[Merchant Pricing]],Table3[[#This Row],[Transaction Amt]]*Table3[[#This Row],[Merchant Pricing]]/100)</f>
        <v>2</v>
      </c>
      <c r="X7" s="44">
        <f>IF(Table3[[#This Row],[Partner Pricing Type]]="FLAT",Table3[[#This Row],[Partner Pricing]],Table3[[#This Row],[Transaction Amt]]*Table3[[#This Row],[Partner Pricing]]/100)</f>
        <v>2</v>
      </c>
      <c r="Y7" s="44">
        <f>IF(Table3[[#This Row],[Edviron Buying type]]="FLAT",Table3[[#This Row],[Edviron Buying]],Table3[[#This Row],[Transaction Amt]]*Table3[[#This Row],[Edviron Buying]]/100)</f>
        <v>0</v>
      </c>
      <c r="Z7" s="44">
        <f t="shared" si="1"/>
        <v>0</v>
      </c>
      <c r="AA7" s="44">
        <f t="shared" si="2"/>
        <v>2</v>
      </c>
      <c r="AB7" s="44">
        <f t="shared" si="3"/>
        <v>2</v>
      </c>
      <c r="AC7" s="45">
        <f t="shared" si="4"/>
        <v>10002.36</v>
      </c>
      <c r="AD7" s="44">
        <f t="shared" si="5"/>
        <v>0</v>
      </c>
      <c r="AE7" s="44">
        <f t="shared" si="6"/>
        <v>2</v>
      </c>
      <c r="AF7" s="32"/>
    </row>
    <row r="8" s="30" customFormat="1" ht="24.75" spans="1:32">
      <c r="A8" s="35">
        <v>7</v>
      </c>
      <c r="B8" s="35" t="s">
        <v>32</v>
      </c>
      <c r="C8" s="36" t="s">
        <v>53</v>
      </c>
      <c r="D8" s="38">
        <v>45931</v>
      </c>
      <c r="E8" s="35" t="s">
        <v>199</v>
      </c>
      <c r="F8" s="35" t="s">
        <v>55</v>
      </c>
      <c r="G8" s="35">
        <v>18836</v>
      </c>
      <c r="H8" s="35">
        <v>18838.36</v>
      </c>
      <c r="I8" s="35" t="s">
        <v>25</v>
      </c>
      <c r="J8" s="35" t="s">
        <v>26</v>
      </c>
      <c r="K8" s="35" t="s">
        <v>27</v>
      </c>
      <c r="L8" s="42" t="s">
        <v>56</v>
      </c>
      <c r="M8" s="35"/>
      <c r="N8" s="40">
        <v>0</v>
      </c>
      <c r="O8" s="35" t="s">
        <v>30</v>
      </c>
      <c r="P8" s="41" t="str">
        <f t="shared" si="0"/>
        <v>SUCCESS</v>
      </c>
      <c r="Q8" s="35">
        <v>2</v>
      </c>
      <c r="R8" s="35" t="s">
        <v>31</v>
      </c>
      <c r="S8" s="35">
        <v>2</v>
      </c>
      <c r="T8" s="35" t="s">
        <v>31</v>
      </c>
      <c r="U8" s="35">
        <v>0</v>
      </c>
      <c r="V8" s="35" t="s">
        <v>31</v>
      </c>
      <c r="W8" s="44">
        <f>IF(Table3[[#This Row],[Merchant Pricing Type]]="FLAT",Table3[[#This Row],[Merchant Pricing]],Table3[[#This Row],[Transaction Amt]]*Table3[[#This Row],[Merchant Pricing]]/100)</f>
        <v>2</v>
      </c>
      <c r="X8" s="44">
        <f>IF(Table3[[#This Row],[Partner Pricing Type]]="FLAT",Table3[[#This Row],[Partner Pricing]],Table3[[#This Row],[Transaction Amt]]*Table3[[#This Row],[Partner Pricing]]/100)</f>
        <v>2</v>
      </c>
      <c r="Y8" s="44">
        <f>IF(Table3[[#This Row],[Edviron Buying type]]="FLAT",Table3[[#This Row],[Edviron Buying]],Table3[[#This Row],[Transaction Amt]]*Table3[[#This Row],[Edviron Buying]]/100)</f>
        <v>0</v>
      </c>
      <c r="Z8" s="44">
        <f t="shared" si="1"/>
        <v>0</v>
      </c>
      <c r="AA8" s="44">
        <f t="shared" si="2"/>
        <v>2</v>
      </c>
      <c r="AB8" s="44">
        <f t="shared" si="3"/>
        <v>2</v>
      </c>
      <c r="AC8" s="45">
        <f t="shared" si="4"/>
        <v>18838.36</v>
      </c>
      <c r="AD8" s="44">
        <f t="shared" si="5"/>
        <v>0</v>
      </c>
      <c r="AE8" s="44">
        <f t="shared" si="6"/>
        <v>2</v>
      </c>
      <c r="AF8" s="32"/>
    </row>
    <row r="9" s="30" customFormat="1" ht="24.75" spans="1:32">
      <c r="A9" s="35">
        <v>8</v>
      </c>
      <c r="B9" s="35" t="s">
        <v>32</v>
      </c>
      <c r="C9" s="36" t="s">
        <v>57</v>
      </c>
      <c r="D9" s="38">
        <v>45962</v>
      </c>
      <c r="E9" s="35" t="s">
        <v>200</v>
      </c>
      <c r="F9" s="35" t="s">
        <v>59</v>
      </c>
      <c r="G9" s="35">
        <v>10576</v>
      </c>
      <c r="H9" s="35">
        <v>10578.36</v>
      </c>
      <c r="I9" s="35" t="s">
        <v>25</v>
      </c>
      <c r="J9" s="35" t="s">
        <v>60</v>
      </c>
      <c r="K9" s="35" t="s">
        <v>27</v>
      </c>
      <c r="L9" s="35" t="s">
        <v>61</v>
      </c>
      <c r="M9" s="35"/>
      <c r="N9" s="40">
        <v>0</v>
      </c>
      <c r="O9" s="35" t="s">
        <v>30</v>
      </c>
      <c r="P9" s="41" t="str">
        <f t="shared" si="0"/>
        <v>SUCCESS</v>
      </c>
      <c r="Q9" s="35">
        <v>2</v>
      </c>
      <c r="R9" s="35" t="s">
        <v>31</v>
      </c>
      <c r="S9" s="35">
        <v>2</v>
      </c>
      <c r="T9" s="35" t="s">
        <v>31</v>
      </c>
      <c r="U9" s="35">
        <v>0</v>
      </c>
      <c r="V9" s="35" t="s">
        <v>31</v>
      </c>
      <c r="W9" s="44">
        <f>IF(Table3[[#This Row],[Merchant Pricing Type]]="FLAT",Table3[[#This Row],[Merchant Pricing]],Table3[[#This Row],[Transaction Amt]]*Table3[[#This Row],[Merchant Pricing]]/100)</f>
        <v>2</v>
      </c>
      <c r="X9" s="44">
        <f>IF(Table3[[#This Row],[Partner Pricing Type]]="FLAT",Table3[[#This Row],[Partner Pricing]],Table3[[#This Row],[Transaction Amt]]*Table3[[#This Row],[Partner Pricing]]/100)</f>
        <v>2</v>
      </c>
      <c r="Y9" s="44">
        <f>IF(Table3[[#This Row],[Edviron Buying type]]="FLAT",Table3[[#This Row],[Edviron Buying]],Table3[[#This Row],[Transaction Amt]]*Table3[[#This Row],[Edviron Buying]]/100)</f>
        <v>0</v>
      </c>
      <c r="Z9" s="44">
        <f t="shared" si="1"/>
        <v>0</v>
      </c>
      <c r="AA9" s="44">
        <f t="shared" si="2"/>
        <v>2</v>
      </c>
      <c r="AB9" s="44">
        <f t="shared" si="3"/>
        <v>2</v>
      </c>
      <c r="AC9" s="45">
        <f t="shared" si="4"/>
        <v>10578.36</v>
      </c>
      <c r="AD9" s="44">
        <f t="shared" si="5"/>
        <v>0</v>
      </c>
      <c r="AE9" s="44">
        <f t="shared" si="6"/>
        <v>2</v>
      </c>
      <c r="AF9" s="32"/>
    </row>
    <row r="10" s="30" customFormat="1" ht="24.75" spans="1:32">
      <c r="A10" s="35">
        <v>9</v>
      </c>
      <c r="B10" s="35" t="s">
        <v>32</v>
      </c>
      <c r="C10" s="36" t="s">
        <v>62</v>
      </c>
      <c r="D10" s="38">
        <v>45992</v>
      </c>
      <c r="E10" s="35" t="s">
        <v>201</v>
      </c>
      <c r="F10" s="35" t="s">
        <v>64</v>
      </c>
      <c r="G10" s="35">
        <v>1</v>
      </c>
      <c r="H10" s="35">
        <v>3.36</v>
      </c>
      <c r="I10" s="35" t="s">
        <v>25</v>
      </c>
      <c r="J10" s="35" t="s">
        <v>60</v>
      </c>
      <c r="K10" s="35" t="s">
        <v>27</v>
      </c>
      <c r="L10" s="35" t="s">
        <v>65</v>
      </c>
      <c r="M10" s="35"/>
      <c r="N10" s="40">
        <v>0</v>
      </c>
      <c r="O10" s="35" t="s">
        <v>30</v>
      </c>
      <c r="P10" s="41" t="str">
        <f t="shared" si="0"/>
        <v>SUCCESS</v>
      </c>
      <c r="Q10" s="35">
        <v>2</v>
      </c>
      <c r="R10" s="35" t="s">
        <v>31</v>
      </c>
      <c r="S10" s="35">
        <v>2</v>
      </c>
      <c r="T10" s="35" t="s">
        <v>31</v>
      </c>
      <c r="U10" s="35">
        <v>0</v>
      </c>
      <c r="V10" s="35" t="s">
        <v>31</v>
      </c>
      <c r="W10" s="44">
        <f>IF(Table3[[#This Row],[Merchant Pricing Type]]="FLAT",Table3[[#This Row],[Merchant Pricing]],Table3[[#This Row],[Transaction Amt]]*Table3[[#This Row],[Merchant Pricing]]/100)</f>
        <v>2</v>
      </c>
      <c r="X10" s="44">
        <f>IF(Table3[[#This Row],[Partner Pricing Type]]="FLAT",Table3[[#This Row],[Partner Pricing]],Table3[[#This Row],[Transaction Amt]]*Table3[[#This Row],[Partner Pricing]]/100)</f>
        <v>2</v>
      </c>
      <c r="Y10" s="44">
        <f>IF(Table3[[#This Row],[Edviron Buying type]]="FLAT",Table3[[#This Row],[Edviron Buying]],Table3[[#This Row],[Transaction Amt]]*Table3[[#This Row],[Edviron Buying]]/100)</f>
        <v>0</v>
      </c>
      <c r="Z10" s="44">
        <f t="shared" si="1"/>
        <v>0</v>
      </c>
      <c r="AA10" s="44">
        <f t="shared" si="2"/>
        <v>2</v>
      </c>
      <c r="AB10" s="44">
        <f t="shared" si="3"/>
        <v>2</v>
      </c>
      <c r="AC10" s="45">
        <f t="shared" si="4"/>
        <v>3.36</v>
      </c>
      <c r="AD10" s="44">
        <f t="shared" si="5"/>
        <v>0</v>
      </c>
      <c r="AE10" s="44">
        <f t="shared" si="6"/>
        <v>2</v>
      </c>
      <c r="AF10" s="32"/>
    </row>
    <row r="11" s="30" customFormat="1" ht="24.75" spans="1:32">
      <c r="A11" s="35">
        <v>10</v>
      </c>
      <c r="B11" s="35" t="s">
        <v>66</v>
      </c>
      <c r="C11" s="36" t="s">
        <v>67</v>
      </c>
      <c r="D11" s="38">
        <v>45670</v>
      </c>
      <c r="E11" s="35" t="s">
        <v>202</v>
      </c>
      <c r="F11" s="35" t="s">
        <v>69</v>
      </c>
      <c r="G11" s="35">
        <v>34325</v>
      </c>
      <c r="H11" s="35">
        <v>34327.36</v>
      </c>
      <c r="I11" s="35" t="s">
        <v>25</v>
      </c>
      <c r="J11" s="35" t="s">
        <v>60</v>
      </c>
      <c r="K11" s="35" t="s">
        <v>27</v>
      </c>
      <c r="L11" s="35" t="s">
        <v>70</v>
      </c>
      <c r="M11" s="35"/>
      <c r="N11" s="40">
        <v>0</v>
      </c>
      <c r="O11" s="35" t="s">
        <v>71</v>
      </c>
      <c r="P11" s="41" t="str">
        <f t="shared" si="0"/>
        <v>SUCCESS</v>
      </c>
      <c r="Q11" s="35">
        <v>2</v>
      </c>
      <c r="R11" s="35" t="s">
        <v>31</v>
      </c>
      <c r="S11" s="35">
        <v>2</v>
      </c>
      <c r="T11" s="35" t="s">
        <v>31</v>
      </c>
      <c r="U11" s="35">
        <v>0</v>
      </c>
      <c r="V11" s="35" t="s">
        <v>31</v>
      </c>
      <c r="W11" s="44">
        <f>IF(Table3[[#This Row],[Merchant Pricing Type]]="FLAT",Table3[[#This Row],[Merchant Pricing]],Table3[[#This Row],[Transaction Amt]]*Table3[[#This Row],[Merchant Pricing]]/100)</f>
        <v>2</v>
      </c>
      <c r="X11" s="44">
        <f>IF(Table3[[#This Row],[Partner Pricing Type]]="FLAT",Table3[[#This Row],[Partner Pricing]],Table3[[#This Row],[Transaction Amt]]*Table3[[#This Row],[Partner Pricing]]/100)</f>
        <v>2</v>
      </c>
      <c r="Y11" s="44">
        <f>IF(Table3[[#This Row],[Edviron Buying type]]="FLAT",Table3[[#This Row],[Edviron Buying]],Table3[[#This Row],[Transaction Amt]]*Table3[[#This Row],[Edviron Buying]]/100)</f>
        <v>0</v>
      </c>
      <c r="Z11" s="44">
        <f t="shared" si="1"/>
        <v>0</v>
      </c>
      <c r="AA11" s="44">
        <f t="shared" si="2"/>
        <v>2</v>
      </c>
      <c r="AB11" s="44">
        <f t="shared" si="3"/>
        <v>2</v>
      </c>
      <c r="AC11" s="45">
        <f t="shared" si="4"/>
        <v>34327.36</v>
      </c>
      <c r="AD11" s="44">
        <f t="shared" si="5"/>
        <v>0</v>
      </c>
      <c r="AE11" s="44">
        <f t="shared" si="6"/>
        <v>2</v>
      </c>
      <c r="AF11" s="32"/>
    </row>
    <row r="12" s="30" customFormat="1" ht="24.75" spans="1:32">
      <c r="A12" s="35">
        <v>11</v>
      </c>
      <c r="B12" s="35" t="s">
        <v>66</v>
      </c>
      <c r="C12" s="36" t="s">
        <v>72</v>
      </c>
      <c r="D12" s="38">
        <v>45671</v>
      </c>
      <c r="E12" s="35" t="s">
        <v>203</v>
      </c>
      <c r="F12" s="35" t="s">
        <v>74</v>
      </c>
      <c r="G12" s="35">
        <v>38100</v>
      </c>
      <c r="H12" s="35">
        <v>38102.36</v>
      </c>
      <c r="I12" s="35" t="s">
        <v>25</v>
      </c>
      <c r="J12" s="35" t="s">
        <v>60</v>
      </c>
      <c r="K12" s="35" t="s">
        <v>27</v>
      </c>
      <c r="L12" s="35" t="s">
        <v>75</v>
      </c>
      <c r="M12" s="35"/>
      <c r="N12" s="40">
        <v>0</v>
      </c>
      <c r="O12" s="35" t="s">
        <v>71</v>
      </c>
      <c r="P12" s="41" t="str">
        <f t="shared" si="0"/>
        <v>SUCCESS</v>
      </c>
      <c r="Q12" s="35">
        <v>2</v>
      </c>
      <c r="R12" s="35" t="s">
        <v>31</v>
      </c>
      <c r="S12" s="35">
        <v>2</v>
      </c>
      <c r="T12" s="35" t="s">
        <v>31</v>
      </c>
      <c r="U12" s="35">
        <v>0</v>
      </c>
      <c r="V12" s="35" t="s">
        <v>31</v>
      </c>
      <c r="W12" s="44">
        <f>IF(Table3[[#This Row],[Merchant Pricing Type]]="FLAT",Table3[[#This Row],[Merchant Pricing]],Table3[[#This Row],[Transaction Amt]]*Table3[[#This Row],[Merchant Pricing]]/100)</f>
        <v>2</v>
      </c>
      <c r="X12" s="44">
        <f>IF(Table3[[#This Row],[Partner Pricing Type]]="FLAT",Table3[[#This Row],[Partner Pricing]],Table3[[#This Row],[Transaction Amt]]*Table3[[#This Row],[Partner Pricing]]/100)</f>
        <v>2</v>
      </c>
      <c r="Y12" s="44">
        <f>IF(Table3[[#This Row],[Edviron Buying type]]="FLAT",Table3[[#This Row],[Edviron Buying]],Table3[[#This Row],[Transaction Amt]]*Table3[[#This Row],[Edviron Buying]]/100)</f>
        <v>0</v>
      </c>
      <c r="Z12" s="44">
        <f t="shared" si="1"/>
        <v>0</v>
      </c>
      <c r="AA12" s="44">
        <f t="shared" si="2"/>
        <v>2</v>
      </c>
      <c r="AB12" s="44">
        <f t="shared" si="3"/>
        <v>2</v>
      </c>
      <c r="AC12" s="45">
        <f t="shared" si="4"/>
        <v>38102.36</v>
      </c>
      <c r="AD12" s="44">
        <f t="shared" si="5"/>
        <v>0</v>
      </c>
      <c r="AE12" s="44">
        <f t="shared" si="6"/>
        <v>2</v>
      </c>
      <c r="AF12" s="32"/>
    </row>
    <row r="13" s="30" customFormat="1" ht="24.75" spans="1:32">
      <c r="A13" s="35">
        <v>12</v>
      </c>
      <c r="B13" s="35" t="s">
        <v>66</v>
      </c>
      <c r="C13" s="36" t="s">
        <v>76</v>
      </c>
      <c r="D13" s="38">
        <v>45672</v>
      </c>
      <c r="E13" s="35" t="s">
        <v>204</v>
      </c>
      <c r="F13" s="35" t="s">
        <v>78</v>
      </c>
      <c r="G13" s="35">
        <v>10350</v>
      </c>
      <c r="H13" s="35">
        <v>10352.36</v>
      </c>
      <c r="I13" s="35" t="s">
        <v>25</v>
      </c>
      <c r="J13" s="35" t="s">
        <v>79</v>
      </c>
      <c r="K13" s="35" t="s">
        <v>27</v>
      </c>
      <c r="L13" s="35" t="s">
        <v>80</v>
      </c>
      <c r="M13" s="35"/>
      <c r="N13" s="40">
        <v>0</v>
      </c>
      <c r="O13" s="35" t="s">
        <v>71</v>
      </c>
      <c r="P13" s="41" t="str">
        <f t="shared" si="0"/>
        <v>SUCCESS</v>
      </c>
      <c r="Q13" s="35">
        <v>2</v>
      </c>
      <c r="R13" s="35" t="s">
        <v>31</v>
      </c>
      <c r="S13" s="35">
        <v>2</v>
      </c>
      <c r="T13" s="35" t="s">
        <v>31</v>
      </c>
      <c r="U13" s="35">
        <v>0</v>
      </c>
      <c r="V13" s="35" t="s">
        <v>31</v>
      </c>
      <c r="W13" s="44">
        <f>IF(Table3[[#This Row],[Merchant Pricing Type]]="FLAT",Table3[[#This Row],[Merchant Pricing]],Table3[[#This Row],[Transaction Amt]]*Table3[[#This Row],[Merchant Pricing]]/100)</f>
        <v>2</v>
      </c>
      <c r="X13" s="44">
        <f>IF(Table3[[#This Row],[Partner Pricing Type]]="FLAT",Table3[[#This Row],[Partner Pricing]],Table3[[#This Row],[Transaction Amt]]*Table3[[#This Row],[Partner Pricing]]/100)</f>
        <v>2</v>
      </c>
      <c r="Y13" s="44">
        <f>IF(Table3[[#This Row],[Edviron Buying type]]="FLAT",Table3[[#This Row],[Edviron Buying]],Table3[[#This Row],[Transaction Amt]]*Table3[[#This Row],[Edviron Buying]]/100)</f>
        <v>0</v>
      </c>
      <c r="Z13" s="44">
        <f t="shared" si="1"/>
        <v>0</v>
      </c>
      <c r="AA13" s="44">
        <f t="shared" si="2"/>
        <v>2</v>
      </c>
      <c r="AB13" s="44">
        <f t="shared" si="3"/>
        <v>2</v>
      </c>
      <c r="AC13" s="45">
        <f t="shared" si="4"/>
        <v>10352.36</v>
      </c>
      <c r="AD13" s="44">
        <f t="shared" si="5"/>
        <v>0</v>
      </c>
      <c r="AE13" s="44">
        <f t="shared" si="6"/>
        <v>2</v>
      </c>
      <c r="AF13" s="32"/>
    </row>
    <row r="14" s="30" customFormat="1" ht="24.75" spans="1:32">
      <c r="A14" s="35">
        <v>13</v>
      </c>
      <c r="B14" s="35" t="s">
        <v>66</v>
      </c>
      <c r="C14" s="36" t="s">
        <v>81</v>
      </c>
      <c r="D14" s="38">
        <v>45673</v>
      </c>
      <c r="E14" s="35" t="s">
        <v>205</v>
      </c>
      <c r="F14" s="35" t="s">
        <v>83</v>
      </c>
      <c r="G14" s="35">
        <v>10950</v>
      </c>
      <c r="H14" s="35">
        <v>10952.36</v>
      </c>
      <c r="I14" s="35" t="s">
        <v>25</v>
      </c>
      <c r="J14" s="35" t="s">
        <v>60</v>
      </c>
      <c r="K14" s="35" t="s">
        <v>27</v>
      </c>
      <c r="L14" s="35" t="s">
        <v>84</v>
      </c>
      <c r="M14" s="35"/>
      <c r="N14" s="40">
        <v>0</v>
      </c>
      <c r="O14" s="35" t="s">
        <v>71</v>
      </c>
      <c r="P14" s="41" t="str">
        <f t="shared" si="0"/>
        <v>SUCCESS</v>
      </c>
      <c r="Q14" s="35">
        <v>2</v>
      </c>
      <c r="R14" s="35" t="s">
        <v>31</v>
      </c>
      <c r="S14" s="35">
        <v>2</v>
      </c>
      <c r="T14" s="35" t="s">
        <v>31</v>
      </c>
      <c r="U14" s="35">
        <v>0</v>
      </c>
      <c r="V14" s="35" t="s">
        <v>31</v>
      </c>
      <c r="W14" s="44">
        <f>IF(Table3[[#This Row],[Merchant Pricing Type]]="FLAT",Table3[[#This Row],[Merchant Pricing]],Table3[[#This Row],[Transaction Amt]]*Table3[[#This Row],[Merchant Pricing]]/100)</f>
        <v>2</v>
      </c>
      <c r="X14" s="44">
        <f>IF(Table3[[#This Row],[Partner Pricing Type]]="FLAT",Table3[[#This Row],[Partner Pricing]],Table3[[#This Row],[Transaction Amt]]*Table3[[#This Row],[Partner Pricing]]/100)</f>
        <v>2</v>
      </c>
      <c r="Y14" s="44">
        <f>IF(Table3[[#This Row],[Edviron Buying type]]="FLAT",Table3[[#This Row],[Edviron Buying]],Table3[[#This Row],[Transaction Amt]]*Table3[[#This Row],[Edviron Buying]]/100)</f>
        <v>0</v>
      </c>
      <c r="Z14" s="44">
        <f t="shared" si="1"/>
        <v>0</v>
      </c>
      <c r="AA14" s="44">
        <f t="shared" si="2"/>
        <v>2</v>
      </c>
      <c r="AB14" s="44">
        <f t="shared" si="3"/>
        <v>2</v>
      </c>
      <c r="AC14" s="45">
        <f t="shared" si="4"/>
        <v>10952.36</v>
      </c>
      <c r="AD14" s="44">
        <f t="shared" si="5"/>
        <v>0</v>
      </c>
      <c r="AE14" s="44">
        <f t="shared" si="6"/>
        <v>2</v>
      </c>
      <c r="AF14" s="32"/>
    </row>
    <row r="15" s="30" customFormat="1" ht="24.75" spans="1:32">
      <c r="A15" s="35">
        <v>14</v>
      </c>
      <c r="B15" s="35" t="s">
        <v>66</v>
      </c>
      <c r="C15" s="36" t="s">
        <v>85</v>
      </c>
      <c r="D15" s="38">
        <v>45674</v>
      </c>
      <c r="E15" s="35" t="s">
        <v>206</v>
      </c>
      <c r="F15" s="35" t="s">
        <v>87</v>
      </c>
      <c r="G15" s="35">
        <v>10350</v>
      </c>
      <c r="H15" s="35">
        <v>10352.36</v>
      </c>
      <c r="I15" s="35" t="s">
        <v>25</v>
      </c>
      <c r="J15" s="35" t="s">
        <v>60</v>
      </c>
      <c r="K15" s="35" t="s">
        <v>27</v>
      </c>
      <c r="L15" s="35" t="s">
        <v>88</v>
      </c>
      <c r="M15" s="35"/>
      <c r="N15" s="40">
        <v>0</v>
      </c>
      <c r="O15" s="35" t="s">
        <v>71</v>
      </c>
      <c r="P15" s="41" t="str">
        <f t="shared" si="0"/>
        <v>SUCCESS</v>
      </c>
      <c r="Q15" s="35">
        <v>2</v>
      </c>
      <c r="R15" s="35" t="s">
        <v>31</v>
      </c>
      <c r="S15" s="35">
        <v>2</v>
      </c>
      <c r="T15" s="35" t="s">
        <v>31</v>
      </c>
      <c r="U15" s="35">
        <v>0</v>
      </c>
      <c r="V15" s="35" t="s">
        <v>31</v>
      </c>
      <c r="W15" s="44">
        <f>IF(Table3[[#This Row],[Merchant Pricing Type]]="FLAT",Table3[[#This Row],[Merchant Pricing]],Table3[[#This Row],[Transaction Amt]]*Table3[[#This Row],[Merchant Pricing]]/100)</f>
        <v>2</v>
      </c>
      <c r="X15" s="44">
        <f>IF(Table3[[#This Row],[Partner Pricing Type]]="FLAT",Table3[[#This Row],[Partner Pricing]],Table3[[#This Row],[Transaction Amt]]*Table3[[#This Row],[Partner Pricing]]/100)</f>
        <v>2</v>
      </c>
      <c r="Y15" s="44">
        <f>IF(Table3[[#This Row],[Edviron Buying type]]="FLAT",Table3[[#This Row],[Edviron Buying]],Table3[[#This Row],[Transaction Amt]]*Table3[[#This Row],[Edviron Buying]]/100)</f>
        <v>0</v>
      </c>
      <c r="Z15" s="44">
        <f t="shared" si="1"/>
        <v>0</v>
      </c>
      <c r="AA15" s="44">
        <f t="shared" si="2"/>
        <v>2</v>
      </c>
      <c r="AB15" s="44">
        <f t="shared" si="3"/>
        <v>2</v>
      </c>
      <c r="AC15" s="45">
        <f t="shared" si="4"/>
        <v>10352.36</v>
      </c>
      <c r="AD15" s="44">
        <f t="shared" si="5"/>
        <v>0</v>
      </c>
      <c r="AE15" s="44">
        <f t="shared" si="6"/>
        <v>2</v>
      </c>
      <c r="AF15" s="32"/>
    </row>
    <row r="16" s="30" customFormat="1" ht="24.75" spans="1:32">
      <c r="A16" s="35">
        <v>15</v>
      </c>
      <c r="B16" s="35" t="s">
        <v>66</v>
      </c>
      <c r="C16" s="36" t="s">
        <v>89</v>
      </c>
      <c r="D16" s="38">
        <v>45675</v>
      </c>
      <c r="E16" s="35" t="s">
        <v>207</v>
      </c>
      <c r="F16" s="35" t="s">
        <v>91</v>
      </c>
      <c r="G16" s="35">
        <v>10950</v>
      </c>
      <c r="H16" s="35">
        <v>10952.36</v>
      </c>
      <c r="I16" s="35" t="s">
        <v>25</v>
      </c>
      <c r="J16" s="35" t="s">
        <v>79</v>
      </c>
      <c r="K16" s="35" t="s">
        <v>27</v>
      </c>
      <c r="L16" s="35" t="s">
        <v>92</v>
      </c>
      <c r="M16" s="35"/>
      <c r="N16" s="40">
        <v>0</v>
      </c>
      <c r="O16" s="35" t="s">
        <v>71</v>
      </c>
      <c r="P16" s="41" t="str">
        <f t="shared" si="0"/>
        <v>SUCCESS</v>
      </c>
      <c r="Q16" s="35">
        <v>2</v>
      </c>
      <c r="R16" s="35" t="s">
        <v>31</v>
      </c>
      <c r="S16" s="35">
        <v>2</v>
      </c>
      <c r="T16" s="35" t="s">
        <v>31</v>
      </c>
      <c r="U16" s="35">
        <v>0</v>
      </c>
      <c r="V16" s="35" t="s">
        <v>31</v>
      </c>
      <c r="W16" s="44">
        <f>IF(Table3[[#This Row],[Merchant Pricing Type]]="FLAT",Table3[[#This Row],[Merchant Pricing]],Table3[[#This Row],[Transaction Amt]]*Table3[[#This Row],[Merchant Pricing]]/100)</f>
        <v>2</v>
      </c>
      <c r="X16" s="44">
        <f>IF(Table3[[#This Row],[Partner Pricing Type]]="FLAT",Table3[[#This Row],[Partner Pricing]],Table3[[#This Row],[Transaction Amt]]*Table3[[#This Row],[Partner Pricing]]/100)</f>
        <v>2</v>
      </c>
      <c r="Y16" s="44">
        <f>IF(Table3[[#This Row],[Edviron Buying type]]="FLAT",Table3[[#This Row],[Edviron Buying]],Table3[[#This Row],[Transaction Amt]]*Table3[[#This Row],[Edviron Buying]]/100)</f>
        <v>0</v>
      </c>
      <c r="Z16" s="44">
        <f t="shared" si="1"/>
        <v>0</v>
      </c>
      <c r="AA16" s="44">
        <f t="shared" si="2"/>
        <v>2</v>
      </c>
      <c r="AB16" s="44">
        <f t="shared" si="3"/>
        <v>2</v>
      </c>
      <c r="AC16" s="45">
        <f t="shared" si="4"/>
        <v>10952.36</v>
      </c>
      <c r="AD16" s="44">
        <f t="shared" si="5"/>
        <v>0</v>
      </c>
      <c r="AE16" s="44">
        <f t="shared" si="6"/>
        <v>2</v>
      </c>
      <c r="AF16" s="32"/>
    </row>
    <row r="17" s="30" customFormat="1" ht="24.75" spans="1:32">
      <c r="A17" s="35">
        <v>16</v>
      </c>
      <c r="B17" s="35" t="s">
        <v>66</v>
      </c>
      <c r="C17" s="36" t="s">
        <v>93</v>
      </c>
      <c r="D17" s="38">
        <v>45676</v>
      </c>
      <c r="E17" s="35" t="s">
        <v>208</v>
      </c>
      <c r="F17" s="35" t="s">
        <v>95</v>
      </c>
      <c r="G17" s="35">
        <v>74150</v>
      </c>
      <c r="H17" s="35">
        <v>74152.36</v>
      </c>
      <c r="I17" s="35" t="s">
        <v>25</v>
      </c>
      <c r="J17" s="35" t="s">
        <v>60</v>
      </c>
      <c r="K17" s="35" t="s">
        <v>27</v>
      </c>
      <c r="L17" s="35" t="s">
        <v>96</v>
      </c>
      <c r="M17" s="35"/>
      <c r="N17" s="40">
        <v>0</v>
      </c>
      <c r="O17" s="35" t="s">
        <v>71</v>
      </c>
      <c r="P17" s="41" t="str">
        <f t="shared" si="0"/>
        <v>SUCCESS</v>
      </c>
      <c r="Q17" s="35">
        <v>2</v>
      </c>
      <c r="R17" s="35" t="s">
        <v>31</v>
      </c>
      <c r="S17" s="35">
        <v>2</v>
      </c>
      <c r="T17" s="35" t="s">
        <v>31</v>
      </c>
      <c r="U17" s="35">
        <v>0</v>
      </c>
      <c r="V17" s="35" t="s">
        <v>31</v>
      </c>
      <c r="W17" s="44">
        <f>IF(Table3[[#This Row],[Merchant Pricing Type]]="FLAT",Table3[[#This Row],[Merchant Pricing]],Table3[[#This Row],[Transaction Amt]]*Table3[[#This Row],[Merchant Pricing]]/100)</f>
        <v>2</v>
      </c>
      <c r="X17" s="44">
        <f>IF(Table3[[#This Row],[Partner Pricing Type]]="FLAT",Table3[[#This Row],[Partner Pricing]],Table3[[#This Row],[Transaction Amt]]*Table3[[#This Row],[Partner Pricing]]/100)</f>
        <v>2</v>
      </c>
      <c r="Y17" s="44">
        <f>IF(Table3[[#This Row],[Edviron Buying type]]="FLAT",Table3[[#This Row],[Edviron Buying]],Table3[[#This Row],[Transaction Amt]]*Table3[[#This Row],[Edviron Buying]]/100)</f>
        <v>0</v>
      </c>
      <c r="Z17" s="44">
        <f t="shared" si="1"/>
        <v>0</v>
      </c>
      <c r="AA17" s="44">
        <f t="shared" si="2"/>
        <v>2</v>
      </c>
      <c r="AB17" s="44">
        <f t="shared" si="3"/>
        <v>2</v>
      </c>
      <c r="AC17" s="45">
        <f t="shared" si="4"/>
        <v>74152.36</v>
      </c>
      <c r="AD17" s="44">
        <f t="shared" si="5"/>
        <v>0</v>
      </c>
      <c r="AE17" s="44">
        <f t="shared" si="6"/>
        <v>2</v>
      </c>
      <c r="AF17" s="32"/>
    </row>
    <row r="18" s="30" customFormat="1" ht="24.75" spans="1:32">
      <c r="A18" s="35">
        <v>17</v>
      </c>
      <c r="B18" s="35" t="s">
        <v>66</v>
      </c>
      <c r="C18" s="36" t="s">
        <v>97</v>
      </c>
      <c r="D18" s="38">
        <v>45677</v>
      </c>
      <c r="E18" s="35" t="s">
        <v>209</v>
      </c>
      <c r="F18" s="35" t="s">
        <v>99</v>
      </c>
      <c r="G18" s="35">
        <v>10350</v>
      </c>
      <c r="H18" s="35">
        <v>10352.36</v>
      </c>
      <c r="I18" s="35" t="s">
        <v>25</v>
      </c>
      <c r="J18" s="35" t="s">
        <v>79</v>
      </c>
      <c r="K18" s="35" t="s">
        <v>27</v>
      </c>
      <c r="L18" s="35" t="s">
        <v>100</v>
      </c>
      <c r="M18" s="35"/>
      <c r="N18" s="40">
        <v>0</v>
      </c>
      <c r="O18" s="35" t="s">
        <v>71</v>
      </c>
      <c r="P18" s="41" t="str">
        <f t="shared" si="0"/>
        <v>SUCCESS</v>
      </c>
      <c r="Q18" s="35">
        <v>2</v>
      </c>
      <c r="R18" s="35" t="s">
        <v>31</v>
      </c>
      <c r="S18" s="35">
        <v>2</v>
      </c>
      <c r="T18" s="35" t="s">
        <v>31</v>
      </c>
      <c r="U18" s="35">
        <v>0</v>
      </c>
      <c r="V18" s="35" t="s">
        <v>31</v>
      </c>
      <c r="W18" s="44">
        <f>IF(Table3[[#This Row],[Merchant Pricing Type]]="FLAT",Table3[[#This Row],[Merchant Pricing]],Table3[[#This Row],[Transaction Amt]]*Table3[[#This Row],[Merchant Pricing]]/100)</f>
        <v>2</v>
      </c>
      <c r="X18" s="44">
        <f>IF(Table3[[#This Row],[Partner Pricing Type]]="FLAT",Table3[[#This Row],[Partner Pricing]],Table3[[#This Row],[Transaction Amt]]*Table3[[#This Row],[Partner Pricing]]/100)</f>
        <v>2</v>
      </c>
      <c r="Y18" s="44">
        <f>IF(Table3[[#This Row],[Edviron Buying type]]="FLAT",Table3[[#This Row],[Edviron Buying]],Table3[[#This Row],[Transaction Amt]]*Table3[[#This Row],[Edviron Buying]]/100)</f>
        <v>0</v>
      </c>
      <c r="Z18" s="44">
        <f t="shared" si="1"/>
        <v>0</v>
      </c>
      <c r="AA18" s="44">
        <f t="shared" si="2"/>
        <v>2</v>
      </c>
      <c r="AB18" s="44">
        <f t="shared" si="3"/>
        <v>2</v>
      </c>
      <c r="AC18" s="45">
        <f t="shared" si="4"/>
        <v>10352.36</v>
      </c>
      <c r="AD18" s="44">
        <f t="shared" si="5"/>
        <v>0</v>
      </c>
      <c r="AE18" s="44">
        <f t="shared" si="6"/>
        <v>2</v>
      </c>
      <c r="AF18" s="32"/>
    </row>
    <row r="19" s="30" customFormat="1" ht="24.75" spans="1:32">
      <c r="A19" s="35">
        <v>18</v>
      </c>
      <c r="B19" s="35" t="s">
        <v>66</v>
      </c>
      <c r="C19" s="36" t="s">
        <v>101</v>
      </c>
      <c r="D19" s="38">
        <v>45678</v>
      </c>
      <c r="E19" s="35" t="s">
        <v>210</v>
      </c>
      <c r="F19" s="35" t="s">
        <v>103</v>
      </c>
      <c r="G19" s="35">
        <v>10350</v>
      </c>
      <c r="H19" s="35">
        <v>10352.36</v>
      </c>
      <c r="I19" s="35" t="s">
        <v>25</v>
      </c>
      <c r="J19" s="35" t="s">
        <v>60</v>
      </c>
      <c r="K19" s="35" t="s">
        <v>27</v>
      </c>
      <c r="L19" s="35" t="s">
        <v>104</v>
      </c>
      <c r="M19" s="35"/>
      <c r="N19" s="40">
        <v>0</v>
      </c>
      <c r="O19" s="35" t="s">
        <v>71</v>
      </c>
      <c r="P19" s="41" t="str">
        <f t="shared" si="0"/>
        <v>SUCCESS</v>
      </c>
      <c r="Q19" s="35">
        <v>2</v>
      </c>
      <c r="R19" s="35" t="s">
        <v>31</v>
      </c>
      <c r="S19" s="35">
        <v>2</v>
      </c>
      <c r="T19" s="35" t="s">
        <v>31</v>
      </c>
      <c r="U19" s="35">
        <v>0</v>
      </c>
      <c r="V19" s="35" t="s">
        <v>31</v>
      </c>
      <c r="W19" s="44">
        <f>IF(Table3[[#This Row],[Merchant Pricing Type]]="FLAT",Table3[[#This Row],[Merchant Pricing]],Table3[[#This Row],[Transaction Amt]]*Table3[[#This Row],[Merchant Pricing]]/100)</f>
        <v>2</v>
      </c>
      <c r="X19" s="44">
        <f>IF(Table3[[#This Row],[Partner Pricing Type]]="FLAT",Table3[[#This Row],[Partner Pricing]],Table3[[#This Row],[Transaction Amt]]*Table3[[#This Row],[Partner Pricing]]/100)</f>
        <v>2</v>
      </c>
      <c r="Y19" s="44">
        <f>IF(Table3[[#This Row],[Edviron Buying type]]="FLAT",Table3[[#This Row],[Edviron Buying]],Table3[[#This Row],[Transaction Amt]]*Table3[[#This Row],[Edviron Buying]]/100)</f>
        <v>0</v>
      </c>
      <c r="Z19" s="44">
        <f t="shared" si="1"/>
        <v>0</v>
      </c>
      <c r="AA19" s="44">
        <f t="shared" si="2"/>
        <v>2</v>
      </c>
      <c r="AB19" s="44">
        <f t="shared" si="3"/>
        <v>2</v>
      </c>
      <c r="AC19" s="45">
        <f t="shared" si="4"/>
        <v>10352.36</v>
      </c>
      <c r="AD19" s="44">
        <f t="shared" si="5"/>
        <v>0</v>
      </c>
      <c r="AE19" s="44">
        <f t="shared" si="6"/>
        <v>2</v>
      </c>
      <c r="AF19" s="32"/>
    </row>
    <row r="20" s="30" customFormat="1" ht="24.75" spans="1:32">
      <c r="A20" s="35">
        <v>19</v>
      </c>
      <c r="B20" s="35" t="s">
        <v>66</v>
      </c>
      <c r="C20" s="36" t="s">
        <v>105</v>
      </c>
      <c r="D20" s="38">
        <v>45679</v>
      </c>
      <c r="E20" s="35" t="s">
        <v>211</v>
      </c>
      <c r="F20" s="35" t="s">
        <v>107</v>
      </c>
      <c r="G20" s="35">
        <v>34325</v>
      </c>
      <c r="H20" s="35">
        <v>34327.36</v>
      </c>
      <c r="I20" s="35" t="s">
        <v>25</v>
      </c>
      <c r="J20" s="35" t="s">
        <v>79</v>
      </c>
      <c r="K20" s="35" t="s">
        <v>27</v>
      </c>
      <c r="L20" s="35" t="s">
        <v>108</v>
      </c>
      <c r="M20" s="35"/>
      <c r="N20" s="40">
        <v>0</v>
      </c>
      <c r="O20" s="35" t="s">
        <v>71</v>
      </c>
      <c r="P20" s="41" t="str">
        <f t="shared" si="0"/>
        <v>SUCCESS</v>
      </c>
      <c r="Q20" s="35">
        <v>2</v>
      </c>
      <c r="R20" s="35" t="s">
        <v>31</v>
      </c>
      <c r="S20" s="35">
        <v>2</v>
      </c>
      <c r="T20" s="35" t="s">
        <v>31</v>
      </c>
      <c r="U20" s="35">
        <v>0</v>
      </c>
      <c r="V20" s="35" t="s">
        <v>31</v>
      </c>
      <c r="W20" s="44">
        <f>IF(Table3[[#This Row],[Merchant Pricing Type]]="FLAT",Table3[[#This Row],[Merchant Pricing]],Table3[[#This Row],[Transaction Amt]]*Table3[[#This Row],[Merchant Pricing]]/100)</f>
        <v>2</v>
      </c>
      <c r="X20" s="44">
        <f>IF(Table3[[#This Row],[Partner Pricing Type]]="FLAT",Table3[[#This Row],[Partner Pricing]],Table3[[#This Row],[Transaction Amt]]*Table3[[#This Row],[Partner Pricing]]/100)</f>
        <v>2</v>
      </c>
      <c r="Y20" s="44">
        <f>IF(Table3[[#This Row],[Edviron Buying type]]="FLAT",Table3[[#This Row],[Edviron Buying]],Table3[[#This Row],[Transaction Amt]]*Table3[[#This Row],[Edviron Buying]]/100)</f>
        <v>0</v>
      </c>
      <c r="Z20" s="44">
        <f t="shared" si="1"/>
        <v>0</v>
      </c>
      <c r="AA20" s="44">
        <f t="shared" si="2"/>
        <v>2</v>
      </c>
      <c r="AB20" s="44">
        <f t="shared" si="3"/>
        <v>2</v>
      </c>
      <c r="AC20" s="45">
        <f t="shared" si="4"/>
        <v>34327.36</v>
      </c>
      <c r="AD20" s="44">
        <f t="shared" si="5"/>
        <v>0</v>
      </c>
      <c r="AE20" s="44">
        <f t="shared" si="6"/>
        <v>2</v>
      </c>
      <c r="AF20" s="32"/>
    </row>
    <row r="21" s="30" customFormat="1" ht="24.75" spans="1:32">
      <c r="A21" s="35">
        <v>20</v>
      </c>
      <c r="B21" s="35" t="s">
        <v>66</v>
      </c>
      <c r="C21" s="36" t="s">
        <v>109</v>
      </c>
      <c r="D21" s="38">
        <v>45680</v>
      </c>
      <c r="E21" s="35" t="s">
        <v>212</v>
      </c>
      <c r="F21" s="35" t="s">
        <v>111</v>
      </c>
      <c r="G21" s="35">
        <v>10950</v>
      </c>
      <c r="H21" s="35">
        <v>10952.36</v>
      </c>
      <c r="I21" s="35" t="s">
        <v>25</v>
      </c>
      <c r="J21" s="35" t="s">
        <v>60</v>
      </c>
      <c r="K21" s="35" t="s">
        <v>27</v>
      </c>
      <c r="L21" s="35" t="s">
        <v>112</v>
      </c>
      <c r="M21" s="35"/>
      <c r="N21" s="40">
        <v>0</v>
      </c>
      <c r="O21" s="35" t="s">
        <v>71</v>
      </c>
      <c r="P21" s="41" t="str">
        <f t="shared" si="0"/>
        <v>SUCCESS</v>
      </c>
      <c r="Q21" s="35">
        <v>2</v>
      </c>
      <c r="R21" s="35" t="s">
        <v>31</v>
      </c>
      <c r="S21" s="35">
        <v>2</v>
      </c>
      <c r="T21" s="35" t="s">
        <v>31</v>
      </c>
      <c r="U21" s="35">
        <v>0</v>
      </c>
      <c r="V21" s="35" t="s">
        <v>31</v>
      </c>
      <c r="W21" s="44">
        <f>IF(Table3[[#This Row],[Merchant Pricing Type]]="FLAT",Table3[[#This Row],[Merchant Pricing]],Table3[[#This Row],[Transaction Amt]]*Table3[[#This Row],[Merchant Pricing]]/100)</f>
        <v>2</v>
      </c>
      <c r="X21" s="44">
        <f>IF(Table3[[#This Row],[Partner Pricing Type]]="FLAT",Table3[[#This Row],[Partner Pricing]],Table3[[#This Row],[Transaction Amt]]*Table3[[#This Row],[Partner Pricing]]/100)</f>
        <v>2</v>
      </c>
      <c r="Y21" s="44">
        <f>IF(Table3[[#This Row],[Edviron Buying type]]="FLAT",Table3[[#This Row],[Edviron Buying]],Table3[[#This Row],[Transaction Amt]]*Table3[[#This Row],[Edviron Buying]]/100)</f>
        <v>0</v>
      </c>
      <c r="Z21" s="44">
        <f t="shared" si="1"/>
        <v>0</v>
      </c>
      <c r="AA21" s="44">
        <f t="shared" si="2"/>
        <v>2</v>
      </c>
      <c r="AB21" s="44">
        <f t="shared" si="3"/>
        <v>2</v>
      </c>
      <c r="AC21" s="45">
        <f t="shared" si="4"/>
        <v>10952.36</v>
      </c>
      <c r="AD21" s="44">
        <f t="shared" si="5"/>
        <v>0</v>
      </c>
      <c r="AE21" s="44">
        <f t="shared" si="6"/>
        <v>2</v>
      </c>
      <c r="AF21" s="32"/>
    </row>
    <row r="22" s="30" customFormat="1" ht="24.75" spans="1:32">
      <c r="A22" s="35">
        <v>21</v>
      </c>
      <c r="B22" s="35" t="s">
        <v>66</v>
      </c>
      <c r="C22" s="36" t="s">
        <v>113</v>
      </c>
      <c r="D22" s="38">
        <v>45681</v>
      </c>
      <c r="E22" s="35" t="s">
        <v>213</v>
      </c>
      <c r="F22" s="35" t="s">
        <v>115</v>
      </c>
      <c r="G22" s="35">
        <v>10350</v>
      </c>
      <c r="H22" s="35">
        <v>10352.36</v>
      </c>
      <c r="I22" s="35" t="s">
        <v>25</v>
      </c>
      <c r="J22" s="35" t="s">
        <v>79</v>
      </c>
      <c r="K22" s="35" t="s">
        <v>27</v>
      </c>
      <c r="L22" s="35" t="s">
        <v>116</v>
      </c>
      <c r="M22" s="35"/>
      <c r="N22" s="40">
        <v>0</v>
      </c>
      <c r="O22" s="35" t="s">
        <v>71</v>
      </c>
      <c r="P22" s="41" t="str">
        <f t="shared" si="0"/>
        <v>SUCCESS</v>
      </c>
      <c r="Q22" s="35">
        <v>2</v>
      </c>
      <c r="R22" s="35" t="s">
        <v>31</v>
      </c>
      <c r="S22" s="35">
        <v>2</v>
      </c>
      <c r="T22" s="35" t="s">
        <v>31</v>
      </c>
      <c r="U22" s="35">
        <v>0</v>
      </c>
      <c r="V22" s="35" t="s">
        <v>31</v>
      </c>
      <c r="W22" s="44">
        <f>IF(Table3[[#This Row],[Merchant Pricing Type]]="FLAT",Table3[[#This Row],[Merchant Pricing]],Table3[[#This Row],[Transaction Amt]]*Table3[[#This Row],[Merchant Pricing]]/100)</f>
        <v>2</v>
      </c>
      <c r="X22" s="44">
        <f>IF(Table3[[#This Row],[Partner Pricing Type]]="FLAT",Table3[[#This Row],[Partner Pricing]],Table3[[#This Row],[Transaction Amt]]*Table3[[#This Row],[Partner Pricing]]/100)</f>
        <v>2</v>
      </c>
      <c r="Y22" s="44">
        <f>IF(Table3[[#This Row],[Edviron Buying type]]="FLAT",Table3[[#This Row],[Edviron Buying]],Table3[[#This Row],[Transaction Amt]]*Table3[[#This Row],[Edviron Buying]]/100)</f>
        <v>0</v>
      </c>
      <c r="Z22" s="44">
        <f t="shared" si="1"/>
        <v>0</v>
      </c>
      <c r="AA22" s="44">
        <f t="shared" si="2"/>
        <v>2</v>
      </c>
      <c r="AB22" s="44">
        <f t="shared" si="3"/>
        <v>2</v>
      </c>
      <c r="AC22" s="45">
        <f t="shared" si="4"/>
        <v>10352.36</v>
      </c>
      <c r="AD22" s="44">
        <f t="shared" si="5"/>
        <v>0</v>
      </c>
      <c r="AE22" s="44">
        <f t="shared" si="6"/>
        <v>2</v>
      </c>
      <c r="AF22" s="32"/>
    </row>
    <row r="23" s="30" customFormat="1" ht="24.75" spans="1:32">
      <c r="A23" s="35">
        <v>22</v>
      </c>
      <c r="B23" s="35" t="s">
        <v>66</v>
      </c>
      <c r="C23" s="36" t="s">
        <v>117</v>
      </c>
      <c r="D23" s="38">
        <v>45682</v>
      </c>
      <c r="E23" s="35" t="s">
        <v>214</v>
      </c>
      <c r="F23" s="35" t="s">
        <v>119</v>
      </c>
      <c r="G23" s="35">
        <v>34325</v>
      </c>
      <c r="H23" s="35">
        <v>34327.36</v>
      </c>
      <c r="I23" s="35" t="s">
        <v>25</v>
      </c>
      <c r="J23" s="35" t="s">
        <v>79</v>
      </c>
      <c r="K23" s="35" t="s">
        <v>27</v>
      </c>
      <c r="L23" s="35" t="s">
        <v>120</v>
      </c>
      <c r="M23" s="35"/>
      <c r="N23" s="40">
        <v>0</v>
      </c>
      <c r="O23" s="35" t="s">
        <v>71</v>
      </c>
      <c r="P23" s="41" t="str">
        <f t="shared" si="0"/>
        <v>SUCCESS</v>
      </c>
      <c r="Q23" s="35">
        <v>2</v>
      </c>
      <c r="R23" s="35" t="s">
        <v>31</v>
      </c>
      <c r="S23" s="35">
        <v>2</v>
      </c>
      <c r="T23" s="35" t="s">
        <v>31</v>
      </c>
      <c r="U23" s="35">
        <v>0</v>
      </c>
      <c r="V23" s="35" t="s">
        <v>31</v>
      </c>
      <c r="W23" s="44">
        <f>IF(Table3[[#This Row],[Merchant Pricing Type]]="FLAT",Table3[[#This Row],[Merchant Pricing]],Table3[[#This Row],[Transaction Amt]]*Table3[[#This Row],[Merchant Pricing]]/100)</f>
        <v>2</v>
      </c>
      <c r="X23" s="44">
        <f>IF(Table3[[#This Row],[Partner Pricing Type]]="FLAT",Table3[[#This Row],[Partner Pricing]],Table3[[#This Row],[Transaction Amt]]*Table3[[#This Row],[Partner Pricing]]/100)</f>
        <v>2</v>
      </c>
      <c r="Y23" s="44">
        <f>IF(Table3[[#This Row],[Edviron Buying type]]="FLAT",Table3[[#This Row],[Edviron Buying]],Table3[[#This Row],[Transaction Amt]]*Table3[[#This Row],[Edviron Buying]]/100)</f>
        <v>0</v>
      </c>
      <c r="Z23" s="44">
        <f t="shared" si="1"/>
        <v>0</v>
      </c>
      <c r="AA23" s="44">
        <f t="shared" si="2"/>
        <v>2</v>
      </c>
      <c r="AB23" s="44">
        <f t="shared" si="3"/>
        <v>2</v>
      </c>
      <c r="AC23" s="45">
        <f t="shared" si="4"/>
        <v>34327.36</v>
      </c>
      <c r="AD23" s="44">
        <f t="shared" si="5"/>
        <v>0</v>
      </c>
      <c r="AE23" s="44">
        <f t="shared" si="6"/>
        <v>2</v>
      </c>
      <c r="AF23" s="32"/>
    </row>
    <row r="24" s="30" customFormat="1" ht="24.75" spans="1:32">
      <c r="A24" s="35">
        <v>23</v>
      </c>
      <c r="B24" s="35" t="s">
        <v>66</v>
      </c>
      <c r="C24" s="36" t="s">
        <v>121</v>
      </c>
      <c r="D24" s="38">
        <v>45683</v>
      </c>
      <c r="E24" s="35" t="s">
        <v>215</v>
      </c>
      <c r="F24" s="35" t="s">
        <v>123</v>
      </c>
      <c r="G24" s="35">
        <v>10950</v>
      </c>
      <c r="H24" s="35">
        <v>10952.36</v>
      </c>
      <c r="I24" s="35" t="s">
        <v>25</v>
      </c>
      <c r="J24" s="35" t="s">
        <v>79</v>
      </c>
      <c r="K24" s="35" t="s">
        <v>27</v>
      </c>
      <c r="L24" s="35" t="s">
        <v>124</v>
      </c>
      <c r="M24" s="35"/>
      <c r="N24" s="40">
        <v>0</v>
      </c>
      <c r="O24" s="35" t="s">
        <v>71</v>
      </c>
      <c r="P24" s="41" t="str">
        <f t="shared" si="0"/>
        <v>SUCCESS</v>
      </c>
      <c r="Q24" s="35">
        <v>2</v>
      </c>
      <c r="R24" s="35" t="s">
        <v>31</v>
      </c>
      <c r="S24" s="35">
        <v>2</v>
      </c>
      <c r="T24" s="35" t="s">
        <v>31</v>
      </c>
      <c r="U24" s="35">
        <v>0</v>
      </c>
      <c r="V24" s="35" t="s">
        <v>31</v>
      </c>
      <c r="W24" s="44">
        <f>IF(Table3[[#This Row],[Merchant Pricing Type]]="FLAT",Table3[[#This Row],[Merchant Pricing]],Table3[[#This Row],[Transaction Amt]]*Table3[[#This Row],[Merchant Pricing]]/100)</f>
        <v>2</v>
      </c>
      <c r="X24" s="44">
        <f>IF(Table3[[#This Row],[Partner Pricing Type]]="FLAT",Table3[[#This Row],[Partner Pricing]],Table3[[#This Row],[Transaction Amt]]*Table3[[#This Row],[Partner Pricing]]/100)</f>
        <v>2</v>
      </c>
      <c r="Y24" s="44">
        <f>IF(Table3[[#This Row],[Edviron Buying type]]="FLAT",Table3[[#This Row],[Edviron Buying]],Table3[[#This Row],[Transaction Amt]]*Table3[[#This Row],[Edviron Buying]]/100)</f>
        <v>0</v>
      </c>
      <c r="Z24" s="44">
        <f t="shared" si="1"/>
        <v>0</v>
      </c>
      <c r="AA24" s="44">
        <f t="shared" si="2"/>
        <v>2</v>
      </c>
      <c r="AB24" s="44">
        <f t="shared" si="3"/>
        <v>2</v>
      </c>
      <c r="AC24" s="45">
        <f t="shared" si="4"/>
        <v>10952.36</v>
      </c>
      <c r="AD24" s="44">
        <f t="shared" si="5"/>
        <v>0</v>
      </c>
      <c r="AE24" s="44">
        <f t="shared" si="6"/>
        <v>2</v>
      </c>
      <c r="AF24" s="32"/>
    </row>
    <row r="25" s="30" customFormat="1" ht="24.75" spans="1:32">
      <c r="A25" s="35">
        <v>24</v>
      </c>
      <c r="B25" s="35" t="s">
        <v>66</v>
      </c>
      <c r="C25" s="36" t="s">
        <v>125</v>
      </c>
      <c r="D25" s="38">
        <v>45684</v>
      </c>
      <c r="E25" s="35" t="s">
        <v>216</v>
      </c>
      <c r="F25" s="35" t="s">
        <v>127</v>
      </c>
      <c r="G25" s="35">
        <v>34325</v>
      </c>
      <c r="H25" s="35">
        <v>34327.36</v>
      </c>
      <c r="I25" s="35" t="s">
        <v>25</v>
      </c>
      <c r="J25" s="35" t="s">
        <v>60</v>
      </c>
      <c r="K25" s="35" t="s">
        <v>27</v>
      </c>
      <c r="L25" s="35" t="s">
        <v>128</v>
      </c>
      <c r="M25" s="35"/>
      <c r="N25" s="40">
        <v>0</v>
      </c>
      <c r="O25" s="35" t="s">
        <v>71</v>
      </c>
      <c r="P25" s="41" t="str">
        <f t="shared" si="0"/>
        <v>SUCCESS</v>
      </c>
      <c r="Q25" s="35">
        <v>2</v>
      </c>
      <c r="R25" s="35" t="s">
        <v>31</v>
      </c>
      <c r="S25" s="35">
        <v>2</v>
      </c>
      <c r="T25" s="35" t="s">
        <v>31</v>
      </c>
      <c r="U25" s="35">
        <v>0</v>
      </c>
      <c r="V25" s="35" t="s">
        <v>31</v>
      </c>
      <c r="W25" s="44">
        <f>IF(Table3[[#This Row],[Merchant Pricing Type]]="FLAT",Table3[[#This Row],[Merchant Pricing]],Table3[[#This Row],[Transaction Amt]]*Table3[[#This Row],[Merchant Pricing]]/100)</f>
        <v>2</v>
      </c>
      <c r="X25" s="44">
        <f>IF(Table3[[#This Row],[Partner Pricing Type]]="FLAT",Table3[[#This Row],[Partner Pricing]],Table3[[#This Row],[Transaction Amt]]*Table3[[#This Row],[Partner Pricing]]/100)</f>
        <v>2</v>
      </c>
      <c r="Y25" s="44">
        <f>IF(Table3[[#This Row],[Edviron Buying type]]="FLAT",Table3[[#This Row],[Edviron Buying]],Table3[[#This Row],[Transaction Amt]]*Table3[[#This Row],[Edviron Buying]]/100)</f>
        <v>0</v>
      </c>
      <c r="Z25" s="44">
        <f t="shared" si="1"/>
        <v>0</v>
      </c>
      <c r="AA25" s="44">
        <f t="shared" si="2"/>
        <v>2</v>
      </c>
      <c r="AB25" s="44">
        <f t="shared" si="3"/>
        <v>2</v>
      </c>
      <c r="AC25" s="45">
        <f t="shared" si="4"/>
        <v>34327.36</v>
      </c>
      <c r="AD25" s="44">
        <f t="shared" si="5"/>
        <v>0</v>
      </c>
      <c r="AE25" s="44">
        <f t="shared" si="6"/>
        <v>2</v>
      </c>
      <c r="AF25" s="32"/>
    </row>
    <row r="26" s="30" customFormat="1" ht="24.75" spans="1:32">
      <c r="A26" s="35">
        <v>25</v>
      </c>
      <c r="B26" s="35" t="s">
        <v>66</v>
      </c>
      <c r="C26" s="36" t="s">
        <v>129</v>
      </c>
      <c r="D26" s="38">
        <v>45685</v>
      </c>
      <c r="E26" s="35" t="s">
        <v>217</v>
      </c>
      <c r="F26" s="35" t="s">
        <v>131</v>
      </c>
      <c r="G26" s="35">
        <v>34325</v>
      </c>
      <c r="H26" s="35">
        <v>34327.36</v>
      </c>
      <c r="I26" s="35" t="s">
        <v>25</v>
      </c>
      <c r="J26" s="35" t="s">
        <v>79</v>
      </c>
      <c r="K26" s="35" t="s">
        <v>27</v>
      </c>
      <c r="L26" s="35" t="s">
        <v>70</v>
      </c>
      <c r="M26" s="35"/>
      <c r="N26" s="40">
        <v>0</v>
      </c>
      <c r="O26" s="35" t="s">
        <v>71</v>
      </c>
      <c r="P26" s="41" t="str">
        <f t="shared" si="0"/>
        <v>SUCCESS</v>
      </c>
      <c r="Q26" s="35">
        <v>2</v>
      </c>
      <c r="R26" s="35" t="s">
        <v>31</v>
      </c>
      <c r="S26" s="35">
        <v>2</v>
      </c>
      <c r="T26" s="35" t="s">
        <v>31</v>
      </c>
      <c r="U26" s="35">
        <v>0</v>
      </c>
      <c r="V26" s="35" t="s">
        <v>31</v>
      </c>
      <c r="W26" s="44">
        <f>IF(Table3[[#This Row],[Merchant Pricing Type]]="FLAT",Table3[[#This Row],[Merchant Pricing]],Table3[[#This Row],[Transaction Amt]]*Table3[[#This Row],[Merchant Pricing]]/100)</f>
        <v>2</v>
      </c>
      <c r="X26" s="44">
        <f>IF(Table3[[#This Row],[Partner Pricing Type]]="FLAT",Table3[[#This Row],[Partner Pricing]],Table3[[#This Row],[Transaction Amt]]*Table3[[#This Row],[Partner Pricing]]/100)</f>
        <v>2</v>
      </c>
      <c r="Y26" s="44">
        <f>IF(Table3[[#This Row],[Edviron Buying type]]="FLAT",Table3[[#This Row],[Edviron Buying]],Table3[[#This Row],[Transaction Amt]]*Table3[[#This Row],[Edviron Buying]]/100)</f>
        <v>0</v>
      </c>
      <c r="Z26" s="44">
        <f t="shared" si="1"/>
        <v>0</v>
      </c>
      <c r="AA26" s="44">
        <f t="shared" si="2"/>
        <v>2</v>
      </c>
      <c r="AB26" s="44">
        <f t="shared" si="3"/>
        <v>2</v>
      </c>
      <c r="AC26" s="45">
        <f t="shared" si="4"/>
        <v>34327.36</v>
      </c>
      <c r="AD26" s="44">
        <f t="shared" si="5"/>
        <v>0</v>
      </c>
      <c r="AE26" s="44">
        <f t="shared" si="6"/>
        <v>2</v>
      </c>
      <c r="AF26" s="32"/>
    </row>
    <row r="27" s="30" customFormat="1" ht="24.75" spans="1:32">
      <c r="A27" s="35">
        <v>26</v>
      </c>
      <c r="B27" s="35" t="s">
        <v>66</v>
      </c>
      <c r="C27" s="36" t="s">
        <v>132</v>
      </c>
      <c r="D27" s="38">
        <v>45686</v>
      </c>
      <c r="E27" s="35" t="s">
        <v>218</v>
      </c>
      <c r="F27" s="35" t="s">
        <v>134</v>
      </c>
      <c r="G27" s="35">
        <v>10350</v>
      </c>
      <c r="H27" s="35">
        <v>10352.36</v>
      </c>
      <c r="I27" s="35" t="s">
        <v>25</v>
      </c>
      <c r="J27" s="35" t="s">
        <v>60</v>
      </c>
      <c r="K27" s="35" t="s">
        <v>27</v>
      </c>
      <c r="L27" s="35" t="s">
        <v>136</v>
      </c>
      <c r="M27" s="35"/>
      <c r="N27" s="40">
        <v>0</v>
      </c>
      <c r="O27" s="35" t="s">
        <v>71</v>
      </c>
      <c r="P27" s="41" t="str">
        <f t="shared" si="0"/>
        <v>SUCCESS</v>
      </c>
      <c r="Q27" s="35">
        <v>2</v>
      </c>
      <c r="R27" s="35" t="s">
        <v>31</v>
      </c>
      <c r="S27" s="35">
        <v>2</v>
      </c>
      <c r="T27" s="35" t="s">
        <v>31</v>
      </c>
      <c r="U27" s="35">
        <v>0</v>
      </c>
      <c r="V27" s="35" t="s">
        <v>31</v>
      </c>
      <c r="W27" s="44">
        <f>IF(Table3[[#This Row],[Merchant Pricing Type]]="FLAT",Table3[[#This Row],[Merchant Pricing]],Table3[[#This Row],[Transaction Amt]]*Table3[[#This Row],[Merchant Pricing]]/100)</f>
        <v>2</v>
      </c>
      <c r="X27" s="44">
        <f>IF(Table3[[#This Row],[Partner Pricing Type]]="FLAT",Table3[[#This Row],[Partner Pricing]],Table3[[#This Row],[Transaction Amt]]*Table3[[#This Row],[Partner Pricing]]/100)</f>
        <v>2</v>
      </c>
      <c r="Y27" s="44">
        <f>IF(Table3[[#This Row],[Edviron Buying type]]="FLAT",Table3[[#This Row],[Edviron Buying]],Table3[[#This Row],[Transaction Amt]]*Table3[[#This Row],[Edviron Buying]]/100)</f>
        <v>0</v>
      </c>
      <c r="Z27" s="44">
        <f t="shared" si="1"/>
        <v>0</v>
      </c>
      <c r="AA27" s="44">
        <f t="shared" si="2"/>
        <v>2</v>
      </c>
      <c r="AB27" s="44">
        <f t="shared" si="3"/>
        <v>2</v>
      </c>
      <c r="AC27" s="45">
        <f t="shared" si="4"/>
        <v>10352.36</v>
      </c>
      <c r="AD27" s="44">
        <f t="shared" si="5"/>
        <v>0</v>
      </c>
      <c r="AE27" s="44">
        <f t="shared" si="6"/>
        <v>2</v>
      </c>
      <c r="AF27" s="32"/>
    </row>
    <row r="28" s="30" customFormat="1" ht="24.75" spans="1:32">
      <c r="A28" s="35">
        <v>27</v>
      </c>
      <c r="B28" s="35" t="s">
        <v>66</v>
      </c>
      <c r="C28" s="36" t="s">
        <v>137</v>
      </c>
      <c r="D28" s="38">
        <v>45687</v>
      </c>
      <c r="E28" s="35" t="s">
        <v>219</v>
      </c>
      <c r="F28" s="35" t="s">
        <v>139</v>
      </c>
      <c r="G28" s="35">
        <v>34325</v>
      </c>
      <c r="H28" s="35">
        <v>34327.36</v>
      </c>
      <c r="I28" s="35" t="s">
        <v>25</v>
      </c>
      <c r="J28" s="35" t="s">
        <v>60</v>
      </c>
      <c r="K28" s="35" t="s">
        <v>27</v>
      </c>
      <c r="L28" s="35" t="s">
        <v>140</v>
      </c>
      <c r="M28" s="35"/>
      <c r="N28" s="40">
        <v>0</v>
      </c>
      <c r="O28" s="35" t="s">
        <v>71</v>
      </c>
      <c r="P28" s="41" t="str">
        <f t="shared" si="0"/>
        <v>SUCCESS</v>
      </c>
      <c r="Q28" s="35">
        <v>2</v>
      </c>
      <c r="R28" s="35" t="s">
        <v>31</v>
      </c>
      <c r="S28" s="35">
        <v>2</v>
      </c>
      <c r="T28" s="35" t="s">
        <v>31</v>
      </c>
      <c r="U28" s="35">
        <v>0</v>
      </c>
      <c r="V28" s="35" t="s">
        <v>31</v>
      </c>
      <c r="W28" s="44">
        <f>IF(Table3[[#This Row],[Merchant Pricing Type]]="FLAT",Table3[[#This Row],[Merchant Pricing]],Table3[[#This Row],[Transaction Amt]]*Table3[[#This Row],[Merchant Pricing]]/100)</f>
        <v>2</v>
      </c>
      <c r="X28" s="44">
        <f>IF(Table3[[#This Row],[Partner Pricing Type]]="FLAT",Table3[[#This Row],[Partner Pricing]],Table3[[#This Row],[Transaction Amt]]*Table3[[#This Row],[Partner Pricing]]/100)</f>
        <v>2</v>
      </c>
      <c r="Y28" s="44">
        <f>IF(Table3[[#This Row],[Edviron Buying type]]="FLAT",Table3[[#This Row],[Edviron Buying]],Table3[[#This Row],[Transaction Amt]]*Table3[[#This Row],[Edviron Buying]]/100)</f>
        <v>0</v>
      </c>
      <c r="Z28" s="44">
        <f t="shared" si="1"/>
        <v>0</v>
      </c>
      <c r="AA28" s="44">
        <f t="shared" si="2"/>
        <v>2</v>
      </c>
      <c r="AB28" s="44">
        <f t="shared" si="3"/>
        <v>2</v>
      </c>
      <c r="AC28" s="45">
        <f t="shared" si="4"/>
        <v>34327.36</v>
      </c>
      <c r="AD28" s="44">
        <f t="shared" si="5"/>
        <v>0</v>
      </c>
      <c r="AE28" s="44">
        <f t="shared" si="6"/>
        <v>2</v>
      </c>
      <c r="AF28" s="32"/>
    </row>
    <row r="29" s="30" customFormat="1" ht="24.75" spans="1:32">
      <c r="A29" s="35">
        <v>28</v>
      </c>
      <c r="B29" s="35" t="s">
        <v>66</v>
      </c>
      <c r="C29" s="36" t="s">
        <v>141</v>
      </c>
      <c r="D29" s="38">
        <v>45688</v>
      </c>
      <c r="E29" s="35" t="s">
        <v>220</v>
      </c>
      <c r="F29" s="35" t="s">
        <v>143</v>
      </c>
      <c r="G29" s="35">
        <v>10950</v>
      </c>
      <c r="H29" s="35">
        <v>10952.36</v>
      </c>
      <c r="I29" s="35" t="s">
        <v>25</v>
      </c>
      <c r="J29" s="35" t="s">
        <v>60</v>
      </c>
      <c r="K29" s="35" t="s">
        <v>27</v>
      </c>
      <c r="L29" s="35" t="s">
        <v>144</v>
      </c>
      <c r="M29" s="35"/>
      <c r="N29" s="40">
        <v>0</v>
      </c>
      <c r="O29" s="35" t="s">
        <v>71</v>
      </c>
      <c r="P29" s="41" t="str">
        <f t="shared" si="0"/>
        <v>SUCCESS</v>
      </c>
      <c r="Q29" s="35">
        <v>2</v>
      </c>
      <c r="R29" s="35" t="s">
        <v>31</v>
      </c>
      <c r="S29" s="35">
        <v>2</v>
      </c>
      <c r="T29" s="35" t="s">
        <v>31</v>
      </c>
      <c r="U29" s="35">
        <v>0</v>
      </c>
      <c r="V29" s="35" t="s">
        <v>31</v>
      </c>
      <c r="W29" s="44">
        <f>IF(Table3[[#This Row],[Merchant Pricing Type]]="FLAT",Table3[[#This Row],[Merchant Pricing]],Table3[[#This Row],[Transaction Amt]]*Table3[[#This Row],[Merchant Pricing]]/100)</f>
        <v>2</v>
      </c>
      <c r="X29" s="44">
        <f>IF(Table3[[#This Row],[Partner Pricing Type]]="FLAT",Table3[[#This Row],[Partner Pricing]],Table3[[#This Row],[Transaction Amt]]*Table3[[#This Row],[Partner Pricing]]/100)</f>
        <v>2</v>
      </c>
      <c r="Y29" s="44">
        <f>IF(Table3[[#This Row],[Edviron Buying type]]="FLAT",Table3[[#This Row],[Edviron Buying]],Table3[[#This Row],[Transaction Amt]]*Table3[[#This Row],[Edviron Buying]]/100)</f>
        <v>0</v>
      </c>
      <c r="Z29" s="44">
        <f t="shared" si="1"/>
        <v>0</v>
      </c>
      <c r="AA29" s="44">
        <f t="shared" si="2"/>
        <v>2</v>
      </c>
      <c r="AB29" s="44">
        <f t="shared" si="3"/>
        <v>2</v>
      </c>
      <c r="AC29" s="45">
        <f t="shared" si="4"/>
        <v>10952.36</v>
      </c>
      <c r="AD29" s="44">
        <f t="shared" si="5"/>
        <v>0</v>
      </c>
      <c r="AE29" s="44">
        <f t="shared" si="6"/>
        <v>2</v>
      </c>
      <c r="AF29" s="32"/>
    </row>
    <row r="30" s="30" customFormat="1" ht="24.75" spans="1:32">
      <c r="A30" s="35">
        <v>29</v>
      </c>
      <c r="B30" s="35" t="s">
        <v>66</v>
      </c>
      <c r="C30" s="36" t="s">
        <v>145</v>
      </c>
      <c r="D30" s="38">
        <v>45659</v>
      </c>
      <c r="E30" s="35" t="s">
        <v>221</v>
      </c>
      <c r="F30" s="35" t="s">
        <v>147</v>
      </c>
      <c r="G30" s="35">
        <v>34325</v>
      </c>
      <c r="H30" s="35">
        <v>34327.36</v>
      </c>
      <c r="I30" s="35" t="s">
        <v>25</v>
      </c>
      <c r="J30" s="35" t="s">
        <v>60</v>
      </c>
      <c r="K30" s="35" t="s">
        <v>27</v>
      </c>
      <c r="L30" s="35" t="s">
        <v>148</v>
      </c>
      <c r="M30" s="35"/>
      <c r="N30" s="40">
        <v>0</v>
      </c>
      <c r="O30" s="35" t="s">
        <v>71</v>
      </c>
      <c r="P30" s="41" t="str">
        <f t="shared" si="0"/>
        <v>SUCCESS</v>
      </c>
      <c r="Q30" s="35">
        <v>2</v>
      </c>
      <c r="R30" s="35" t="s">
        <v>31</v>
      </c>
      <c r="S30" s="35">
        <v>2</v>
      </c>
      <c r="T30" s="35" t="s">
        <v>31</v>
      </c>
      <c r="U30" s="35">
        <v>0</v>
      </c>
      <c r="V30" s="35" t="s">
        <v>31</v>
      </c>
      <c r="W30" s="44">
        <f>IF(Table3[[#This Row],[Merchant Pricing Type]]="FLAT",Table3[[#This Row],[Merchant Pricing]],Table3[[#This Row],[Transaction Amt]]*Table3[[#This Row],[Merchant Pricing]]/100)</f>
        <v>2</v>
      </c>
      <c r="X30" s="44">
        <f>IF(Table3[[#This Row],[Partner Pricing Type]]="FLAT",Table3[[#This Row],[Partner Pricing]],Table3[[#This Row],[Transaction Amt]]*Table3[[#This Row],[Partner Pricing]]/100)</f>
        <v>2</v>
      </c>
      <c r="Y30" s="44">
        <f>IF(Table3[[#This Row],[Edviron Buying type]]="FLAT",Table3[[#This Row],[Edviron Buying]],Table3[[#This Row],[Transaction Amt]]*Table3[[#This Row],[Edviron Buying]]/100)</f>
        <v>0</v>
      </c>
      <c r="Z30" s="44">
        <f t="shared" si="1"/>
        <v>0</v>
      </c>
      <c r="AA30" s="44">
        <f t="shared" si="2"/>
        <v>2</v>
      </c>
      <c r="AB30" s="44">
        <f t="shared" si="3"/>
        <v>2</v>
      </c>
      <c r="AC30" s="45">
        <f t="shared" si="4"/>
        <v>34327.36</v>
      </c>
      <c r="AD30" s="44">
        <f t="shared" si="5"/>
        <v>0</v>
      </c>
      <c r="AE30" s="44">
        <f t="shared" si="6"/>
        <v>2</v>
      </c>
      <c r="AF30" s="32"/>
    </row>
    <row r="31" s="30" customFormat="1" ht="24.75" spans="1:32">
      <c r="A31" s="35">
        <v>30</v>
      </c>
      <c r="B31" s="35" t="s">
        <v>66</v>
      </c>
      <c r="C31" s="36" t="s">
        <v>149</v>
      </c>
      <c r="D31" s="38">
        <v>45690</v>
      </c>
      <c r="E31" s="35" t="s">
        <v>222</v>
      </c>
      <c r="F31" s="35" t="s">
        <v>151</v>
      </c>
      <c r="G31" s="35">
        <v>72450</v>
      </c>
      <c r="H31" s="35">
        <v>72452.36</v>
      </c>
      <c r="I31" s="35" t="s">
        <v>25</v>
      </c>
      <c r="J31" s="35" t="s">
        <v>60</v>
      </c>
      <c r="K31" s="35" t="s">
        <v>27</v>
      </c>
      <c r="L31" s="35" t="s">
        <v>152</v>
      </c>
      <c r="M31" s="35"/>
      <c r="N31" s="40">
        <v>0</v>
      </c>
      <c r="O31" s="35" t="s">
        <v>71</v>
      </c>
      <c r="P31" s="41" t="str">
        <f t="shared" si="0"/>
        <v>SUCCESS</v>
      </c>
      <c r="Q31" s="35">
        <v>2</v>
      </c>
      <c r="R31" s="35" t="s">
        <v>31</v>
      </c>
      <c r="S31" s="35">
        <v>2</v>
      </c>
      <c r="T31" s="35" t="s">
        <v>31</v>
      </c>
      <c r="U31" s="35">
        <v>0</v>
      </c>
      <c r="V31" s="35" t="s">
        <v>31</v>
      </c>
      <c r="W31" s="44">
        <f>IF(Table3[[#This Row],[Merchant Pricing Type]]="FLAT",Table3[[#This Row],[Merchant Pricing]],Table3[[#This Row],[Transaction Amt]]*Table3[[#This Row],[Merchant Pricing]]/100)</f>
        <v>2</v>
      </c>
      <c r="X31" s="44">
        <f>IF(Table3[[#This Row],[Partner Pricing Type]]="FLAT",Table3[[#This Row],[Partner Pricing]],Table3[[#This Row],[Transaction Amt]]*Table3[[#This Row],[Partner Pricing]]/100)</f>
        <v>2</v>
      </c>
      <c r="Y31" s="44">
        <f>IF(Table3[[#This Row],[Edviron Buying type]]="FLAT",Table3[[#This Row],[Edviron Buying]],Table3[[#This Row],[Transaction Amt]]*Table3[[#This Row],[Edviron Buying]]/100)</f>
        <v>0</v>
      </c>
      <c r="Z31" s="44">
        <f t="shared" si="1"/>
        <v>0</v>
      </c>
      <c r="AA31" s="44">
        <f t="shared" si="2"/>
        <v>2</v>
      </c>
      <c r="AB31" s="44">
        <f t="shared" si="3"/>
        <v>2</v>
      </c>
      <c r="AC31" s="45">
        <f t="shared" si="4"/>
        <v>72452.36</v>
      </c>
      <c r="AD31" s="44">
        <f t="shared" si="5"/>
        <v>0</v>
      </c>
      <c r="AE31" s="44">
        <f t="shared" si="6"/>
        <v>2</v>
      </c>
      <c r="AF31" s="32"/>
    </row>
    <row r="32" s="30" customFormat="1" ht="24.75" spans="1:32">
      <c r="A32" s="35">
        <v>31</v>
      </c>
      <c r="B32" s="35" t="s">
        <v>66</v>
      </c>
      <c r="C32" s="36" t="s">
        <v>153</v>
      </c>
      <c r="D32" s="38">
        <v>45718</v>
      </c>
      <c r="E32" s="35" t="s">
        <v>223</v>
      </c>
      <c r="F32" s="35" t="s">
        <v>155</v>
      </c>
      <c r="G32" s="35">
        <v>74150</v>
      </c>
      <c r="H32" s="35">
        <v>74152.36</v>
      </c>
      <c r="I32" s="35" t="s">
        <v>25</v>
      </c>
      <c r="J32" s="35" t="s">
        <v>60</v>
      </c>
      <c r="K32" s="35" t="s">
        <v>27</v>
      </c>
      <c r="L32" s="35" t="s">
        <v>156</v>
      </c>
      <c r="M32" s="35"/>
      <c r="N32" s="40">
        <v>0</v>
      </c>
      <c r="O32" s="35" t="s">
        <v>71</v>
      </c>
      <c r="P32" s="41" t="str">
        <f t="shared" si="0"/>
        <v>SUCCESS</v>
      </c>
      <c r="Q32" s="35">
        <v>2</v>
      </c>
      <c r="R32" s="35" t="s">
        <v>31</v>
      </c>
      <c r="S32" s="35">
        <v>2</v>
      </c>
      <c r="T32" s="35" t="s">
        <v>31</v>
      </c>
      <c r="U32" s="35">
        <v>0</v>
      </c>
      <c r="V32" s="35" t="s">
        <v>31</v>
      </c>
      <c r="W32" s="44">
        <f>IF(Table3[[#This Row],[Merchant Pricing Type]]="FLAT",Table3[[#This Row],[Merchant Pricing]],Table3[[#This Row],[Transaction Amt]]*Table3[[#This Row],[Merchant Pricing]]/100)</f>
        <v>2</v>
      </c>
      <c r="X32" s="44">
        <f>IF(Table3[[#This Row],[Partner Pricing Type]]="FLAT",Table3[[#This Row],[Partner Pricing]],Table3[[#This Row],[Transaction Amt]]*Table3[[#This Row],[Partner Pricing]]/100)</f>
        <v>2</v>
      </c>
      <c r="Y32" s="44">
        <f>IF(Table3[[#This Row],[Edviron Buying type]]="FLAT",Table3[[#This Row],[Edviron Buying]],Table3[[#This Row],[Transaction Amt]]*Table3[[#This Row],[Edviron Buying]]/100)</f>
        <v>0</v>
      </c>
      <c r="Z32" s="44">
        <f t="shared" si="1"/>
        <v>0</v>
      </c>
      <c r="AA32" s="44">
        <f t="shared" si="2"/>
        <v>2</v>
      </c>
      <c r="AB32" s="44">
        <f t="shared" si="3"/>
        <v>2</v>
      </c>
      <c r="AC32" s="45">
        <f t="shared" si="4"/>
        <v>74152.36</v>
      </c>
      <c r="AD32" s="44">
        <f t="shared" si="5"/>
        <v>0</v>
      </c>
      <c r="AE32" s="44">
        <f t="shared" si="6"/>
        <v>2</v>
      </c>
      <c r="AF32" s="32"/>
    </row>
    <row r="33" s="30" customFormat="1" ht="24.75" spans="1:32">
      <c r="A33" s="35">
        <v>32</v>
      </c>
      <c r="B33" s="35" t="s">
        <v>66</v>
      </c>
      <c r="C33" s="36" t="s">
        <v>157</v>
      </c>
      <c r="D33" s="38">
        <v>45749</v>
      </c>
      <c r="E33" s="35" t="s">
        <v>224</v>
      </c>
      <c r="F33" s="35" t="s">
        <v>159</v>
      </c>
      <c r="G33" s="35">
        <v>36100</v>
      </c>
      <c r="H33" s="35">
        <v>36102.36</v>
      </c>
      <c r="I33" s="35" t="s">
        <v>25</v>
      </c>
      <c r="J33" s="35" t="s">
        <v>60</v>
      </c>
      <c r="K33" s="35" t="s">
        <v>27</v>
      </c>
      <c r="L33" s="35" t="s">
        <v>160</v>
      </c>
      <c r="M33" s="35"/>
      <c r="N33" s="40">
        <v>0</v>
      </c>
      <c r="O33" s="35" t="s">
        <v>71</v>
      </c>
      <c r="P33" s="41" t="str">
        <f t="shared" si="0"/>
        <v>SUCCESS</v>
      </c>
      <c r="Q33" s="35">
        <v>2</v>
      </c>
      <c r="R33" s="35" t="s">
        <v>31</v>
      </c>
      <c r="S33" s="35">
        <v>2</v>
      </c>
      <c r="T33" s="35" t="s">
        <v>31</v>
      </c>
      <c r="U33" s="35">
        <v>0</v>
      </c>
      <c r="V33" s="35" t="s">
        <v>31</v>
      </c>
      <c r="W33" s="44">
        <f>IF(Table3[[#This Row],[Merchant Pricing Type]]="FLAT",Table3[[#This Row],[Merchant Pricing]],Table3[[#This Row],[Transaction Amt]]*Table3[[#This Row],[Merchant Pricing]]/100)</f>
        <v>2</v>
      </c>
      <c r="X33" s="44">
        <f>IF(Table3[[#This Row],[Partner Pricing Type]]="FLAT",Table3[[#This Row],[Partner Pricing]],Table3[[#This Row],[Transaction Amt]]*Table3[[#This Row],[Partner Pricing]]/100)</f>
        <v>2</v>
      </c>
      <c r="Y33" s="44">
        <f>IF(Table3[[#This Row],[Edviron Buying type]]="FLAT",Table3[[#This Row],[Edviron Buying]],Table3[[#This Row],[Transaction Amt]]*Table3[[#This Row],[Edviron Buying]]/100)</f>
        <v>0</v>
      </c>
      <c r="Z33" s="44">
        <f t="shared" si="1"/>
        <v>0</v>
      </c>
      <c r="AA33" s="44">
        <f t="shared" si="2"/>
        <v>2</v>
      </c>
      <c r="AB33" s="44">
        <f t="shared" si="3"/>
        <v>2</v>
      </c>
      <c r="AC33" s="45">
        <f t="shared" si="4"/>
        <v>36102.36</v>
      </c>
      <c r="AD33" s="44">
        <f t="shared" si="5"/>
        <v>0</v>
      </c>
      <c r="AE33" s="44">
        <f t="shared" si="6"/>
        <v>2</v>
      </c>
      <c r="AF33" s="32"/>
    </row>
    <row r="34" s="30" customFormat="1" ht="24.75" spans="1:32">
      <c r="A34" s="35">
        <v>33</v>
      </c>
      <c r="B34" s="35" t="s">
        <v>66</v>
      </c>
      <c r="C34" s="36" t="s">
        <v>161</v>
      </c>
      <c r="D34" s="38">
        <v>45779</v>
      </c>
      <c r="E34" s="35" t="s">
        <v>225</v>
      </c>
      <c r="F34" s="35" t="s">
        <v>163</v>
      </c>
      <c r="G34" s="35">
        <v>72150</v>
      </c>
      <c r="H34" s="35">
        <v>72152.36</v>
      </c>
      <c r="I34" s="35" t="s">
        <v>25</v>
      </c>
      <c r="J34" s="35" t="s">
        <v>60</v>
      </c>
      <c r="K34" s="35" t="s">
        <v>27</v>
      </c>
      <c r="L34" s="35" t="s">
        <v>164</v>
      </c>
      <c r="M34" s="35"/>
      <c r="N34" s="40">
        <v>0</v>
      </c>
      <c r="O34" s="35" t="s">
        <v>71</v>
      </c>
      <c r="P34" s="41" t="str">
        <f t="shared" si="0"/>
        <v>SUCCESS</v>
      </c>
      <c r="Q34" s="35">
        <v>2</v>
      </c>
      <c r="R34" s="35" t="s">
        <v>31</v>
      </c>
      <c r="S34" s="35">
        <v>2</v>
      </c>
      <c r="T34" s="35" t="s">
        <v>31</v>
      </c>
      <c r="U34" s="35">
        <v>0</v>
      </c>
      <c r="V34" s="35" t="s">
        <v>31</v>
      </c>
      <c r="W34" s="44">
        <f>IF(Table3[[#This Row],[Merchant Pricing Type]]="FLAT",Table3[[#This Row],[Merchant Pricing]],Table3[[#This Row],[Transaction Amt]]*Table3[[#This Row],[Merchant Pricing]]/100)</f>
        <v>2</v>
      </c>
      <c r="X34" s="44">
        <f>IF(Table3[[#This Row],[Partner Pricing Type]]="FLAT",Table3[[#This Row],[Partner Pricing]],Table3[[#This Row],[Transaction Amt]]*Table3[[#This Row],[Partner Pricing]]/100)</f>
        <v>2</v>
      </c>
      <c r="Y34" s="44">
        <f>IF(Table3[[#This Row],[Edviron Buying type]]="FLAT",Table3[[#This Row],[Edviron Buying]],Table3[[#This Row],[Transaction Amt]]*Table3[[#This Row],[Edviron Buying]]/100)</f>
        <v>0</v>
      </c>
      <c r="Z34" s="44">
        <f t="shared" si="1"/>
        <v>0</v>
      </c>
      <c r="AA34" s="44">
        <f t="shared" si="2"/>
        <v>2</v>
      </c>
      <c r="AB34" s="44">
        <f t="shared" si="3"/>
        <v>2</v>
      </c>
      <c r="AC34" s="45">
        <f t="shared" si="4"/>
        <v>72152.36</v>
      </c>
      <c r="AD34" s="44">
        <f t="shared" si="5"/>
        <v>0</v>
      </c>
      <c r="AE34" s="44">
        <f t="shared" si="6"/>
        <v>2</v>
      </c>
      <c r="AF34" s="32"/>
    </row>
    <row r="35" s="30" customFormat="1" ht="24.75" spans="1:32">
      <c r="A35" s="35">
        <v>34</v>
      </c>
      <c r="B35" s="35" t="s">
        <v>66</v>
      </c>
      <c r="C35" s="36" t="s">
        <v>165</v>
      </c>
      <c r="D35" s="38">
        <v>45810</v>
      </c>
      <c r="E35" s="35" t="s">
        <v>226</v>
      </c>
      <c r="F35" s="35" t="s">
        <v>167</v>
      </c>
      <c r="G35" s="35">
        <v>10950</v>
      </c>
      <c r="H35" s="35">
        <v>10952.36</v>
      </c>
      <c r="I35" s="35" t="s">
        <v>25</v>
      </c>
      <c r="J35" s="35" t="s">
        <v>60</v>
      </c>
      <c r="K35" s="35" t="s">
        <v>27</v>
      </c>
      <c r="L35" s="35" t="s">
        <v>168</v>
      </c>
      <c r="M35" s="35"/>
      <c r="N35" s="40">
        <v>0</v>
      </c>
      <c r="O35" s="35" t="s">
        <v>71</v>
      </c>
      <c r="P35" s="41" t="str">
        <f t="shared" si="0"/>
        <v>SUCCESS</v>
      </c>
      <c r="Q35" s="35">
        <v>2</v>
      </c>
      <c r="R35" s="35" t="s">
        <v>31</v>
      </c>
      <c r="S35" s="35">
        <v>2</v>
      </c>
      <c r="T35" s="35" t="s">
        <v>31</v>
      </c>
      <c r="U35" s="35">
        <v>0</v>
      </c>
      <c r="V35" s="35" t="s">
        <v>31</v>
      </c>
      <c r="W35" s="44">
        <f>IF(Table3[[#This Row],[Merchant Pricing Type]]="FLAT",Table3[[#This Row],[Merchant Pricing]],Table3[[#This Row],[Transaction Amt]]*Table3[[#This Row],[Merchant Pricing]]/100)</f>
        <v>2</v>
      </c>
      <c r="X35" s="44">
        <f>IF(Table3[[#This Row],[Partner Pricing Type]]="FLAT",Table3[[#This Row],[Partner Pricing]],Table3[[#This Row],[Transaction Amt]]*Table3[[#This Row],[Partner Pricing]]/100)</f>
        <v>2</v>
      </c>
      <c r="Y35" s="44">
        <f>IF(Table3[[#This Row],[Edviron Buying type]]="FLAT",Table3[[#This Row],[Edviron Buying]],Table3[[#This Row],[Transaction Amt]]*Table3[[#This Row],[Edviron Buying]]/100)</f>
        <v>0</v>
      </c>
      <c r="Z35" s="44">
        <f t="shared" si="1"/>
        <v>0</v>
      </c>
      <c r="AA35" s="44">
        <f t="shared" si="2"/>
        <v>2</v>
      </c>
      <c r="AB35" s="44">
        <f t="shared" si="3"/>
        <v>2</v>
      </c>
      <c r="AC35" s="45">
        <f t="shared" si="4"/>
        <v>10952.36</v>
      </c>
      <c r="AD35" s="44">
        <f t="shared" si="5"/>
        <v>0</v>
      </c>
      <c r="AE35" s="44">
        <f t="shared" si="6"/>
        <v>2</v>
      </c>
      <c r="AF35" s="32"/>
    </row>
    <row r="36" s="30" customFormat="1" ht="24.75" spans="1:32">
      <c r="A36" s="35">
        <v>35</v>
      </c>
      <c r="B36" s="35" t="s">
        <v>66</v>
      </c>
      <c r="C36" s="36" t="s">
        <v>169</v>
      </c>
      <c r="D36" s="38">
        <v>45840</v>
      </c>
      <c r="E36" s="35" t="s">
        <v>227</v>
      </c>
      <c r="F36" s="35" t="s">
        <v>171</v>
      </c>
      <c r="G36" s="35">
        <v>10350</v>
      </c>
      <c r="H36" s="35">
        <v>10352.36</v>
      </c>
      <c r="I36" s="35" t="s">
        <v>25</v>
      </c>
      <c r="J36" s="35" t="s">
        <v>60</v>
      </c>
      <c r="K36" s="35" t="s">
        <v>27</v>
      </c>
      <c r="L36" s="35" t="s">
        <v>172</v>
      </c>
      <c r="M36" s="35"/>
      <c r="N36" s="40">
        <v>0</v>
      </c>
      <c r="O36" s="35" t="s">
        <v>71</v>
      </c>
      <c r="P36" s="41" t="str">
        <f t="shared" si="0"/>
        <v>SUCCESS</v>
      </c>
      <c r="Q36" s="35">
        <v>2</v>
      </c>
      <c r="R36" s="35" t="s">
        <v>31</v>
      </c>
      <c r="S36" s="35">
        <v>2</v>
      </c>
      <c r="T36" s="35" t="s">
        <v>31</v>
      </c>
      <c r="U36" s="35">
        <v>0</v>
      </c>
      <c r="V36" s="35" t="s">
        <v>31</v>
      </c>
      <c r="W36" s="44">
        <f>IF(Table3[[#This Row],[Merchant Pricing Type]]="FLAT",Table3[[#This Row],[Merchant Pricing]],Table3[[#This Row],[Transaction Amt]]*Table3[[#This Row],[Merchant Pricing]]/100)</f>
        <v>2</v>
      </c>
      <c r="X36" s="44">
        <f>IF(Table3[[#This Row],[Partner Pricing Type]]="FLAT",Table3[[#This Row],[Partner Pricing]],Table3[[#This Row],[Transaction Amt]]*Table3[[#This Row],[Partner Pricing]]/100)</f>
        <v>2</v>
      </c>
      <c r="Y36" s="44">
        <f>IF(Table3[[#This Row],[Edviron Buying type]]="FLAT",Table3[[#This Row],[Edviron Buying]],Table3[[#This Row],[Transaction Amt]]*Table3[[#This Row],[Edviron Buying]]/100)</f>
        <v>0</v>
      </c>
      <c r="Z36" s="44">
        <f t="shared" si="1"/>
        <v>0</v>
      </c>
      <c r="AA36" s="44">
        <f t="shared" si="2"/>
        <v>2</v>
      </c>
      <c r="AB36" s="44">
        <f t="shared" si="3"/>
        <v>2</v>
      </c>
      <c r="AC36" s="45">
        <f t="shared" si="4"/>
        <v>10352.36</v>
      </c>
      <c r="AD36" s="44">
        <f t="shared" si="5"/>
        <v>0</v>
      </c>
      <c r="AE36" s="44">
        <f t="shared" si="6"/>
        <v>2</v>
      </c>
      <c r="AF36" s="32"/>
    </row>
    <row r="37" s="30" customFormat="1" ht="24.75" spans="1:32">
      <c r="A37" s="35">
        <v>36</v>
      </c>
      <c r="B37" s="35" t="s">
        <v>66</v>
      </c>
      <c r="C37" s="36" t="s">
        <v>173</v>
      </c>
      <c r="D37" s="38">
        <v>45871</v>
      </c>
      <c r="E37" s="35" t="s">
        <v>228</v>
      </c>
      <c r="F37" s="35" t="s">
        <v>175</v>
      </c>
      <c r="G37" s="35">
        <v>34325</v>
      </c>
      <c r="H37" s="35">
        <v>34327.36</v>
      </c>
      <c r="I37" s="35" t="s">
        <v>25</v>
      </c>
      <c r="J37" s="35" t="s">
        <v>60</v>
      </c>
      <c r="K37" s="35" t="s">
        <v>27</v>
      </c>
      <c r="L37" s="35" t="s">
        <v>176</v>
      </c>
      <c r="M37" s="35"/>
      <c r="N37" s="40">
        <v>0</v>
      </c>
      <c r="O37" s="35" t="s">
        <v>71</v>
      </c>
      <c r="P37" s="41" t="str">
        <f t="shared" si="0"/>
        <v>SUCCESS</v>
      </c>
      <c r="Q37" s="35">
        <v>2</v>
      </c>
      <c r="R37" s="35" t="s">
        <v>31</v>
      </c>
      <c r="S37" s="35">
        <v>2</v>
      </c>
      <c r="T37" s="35" t="s">
        <v>31</v>
      </c>
      <c r="U37" s="35">
        <v>0</v>
      </c>
      <c r="V37" s="35" t="s">
        <v>31</v>
      </c>
      <c r="W37" s="44">
        <f>IF(Table3[[#This Row],[Merchant Pricing Type]]="FLAT",Table3[[#This Row],[Merchant Pricing]],Table3[[#This Row],[Transaction Amt]]*Table3[[#This Row],[Merchant Pricing]]/100)</f>
        <v>2</v>
      </c>
      <c r="X37" s="44">
        <f>IF(Table3[[#This Row],[Partner Pricing Type]]="FLAT",Table3[[#This Row],[Partner Pricing]],Table3[[#This Row],[Transaction Amt]]*Table3[[#This Row],[Partner Pricing]]/100)</f>
        <v>2</v>
      </c>
      <c r="Y37" s="44">
        <f>IF(Table3[[#This Row],[Edviron Buying type]]="FLAT",Table3[[#This Row],[Edviron Buying]],Table3[[#This Row],[Transaction Amt]]*Table3[[#This Row],[Edviron Buying]]/100)</f>
        <v>0</v>
      </c>
      <c r="Z37" s="44">
        <f t="shared" si="1"/>
        <v>0</v>
      </c>
      <c r="AA37" s="44">
        <f t="shared" si="2"/>
        <v>2</v>
      </c>
      <c r="AB37" s="44">
        <f t="shared" si="3"/>
        <v>2</v>
      </c>
      <c r="AC37" s="45">
        <f t="shared" si="4"/>
        <v>34327.36</v>
      </c>
      <c r="AD37" s="44">
        <f t="shared" si="5"/>
        <v>0</v>
      </c>
      <c r="AE37" s="44">
        <f t="shared" si="6"/>
        <v>2</v>
      </c>
      <c r="AF37" s="32"/>
    </row>
    <row r="38" s="30" customFormat="1" ht="24.75" spans="1:32">
      <c r="A38" s="35">
        <v>37</v>
      </c>
      <c r="B38" s="35" t="s">
        <v>66</v>
      </c>
      <c r="C38" s="36" t="s">
        <v>177</v>
      </c>
      <c r="D38" s="38">
        <v>45902</v>
      </c>
      <c r="E38" s="35" t="s">
        <v>229</v>
      </c>
      <c r="F38" s="35" t="s">
        <v>179</v>
      </c>
      <c r="G38" s="35">
        <v>34325</v>
      </c>
      <c r="H38" s="35">
        <v>34327.36</v>
      </c>
      <c r="I38" s="35" t="s">
        <v>25</v>
      </c>
      <c r="J38" s="35" t="s">
        <v>60</v>
      </c>
      <c r="K38" s="35" t="s">
        <v>27</v>
      </c>
      <c r="L38" s="35" t="s">
        <v>180</v>
      </c>
      <c r="M38" s="35"/>
      <c r="N38" s="40">
        <v>0</v>
      </c>
      <c r="O38" s="35" t="s">
        <v>71</v>
      </c>
      <c r="P38" s="41" t="str">
        <f t="shared" si="0"/>
        <v>SUCCESS</v>
      </c>
      <c r="Q38" s="35">
        <v>2</v>
      </c>
      <c r="R38" s="35" t="s">
        <v>31</v>
      </c>
      <c r="S38" s="35">
        <v>2</v>
      </c>
      <c r="T38" s="35" t="s">
        <v>31</v>
      </c>
      <c r="U38" s="35">
        <v>0</v>
      </c>
      <c r="V38" s="35" t="s">
        <v>31</v>
      </c>
      <c r="W38" s="44">
        <f>IF(Table3[[#This Row],[Merchant Pricing Type]]="FLAT",Table3[[#This Row],[Merchant Pricing]],Table3[[#This Row],[Transaction Amt]]*Table3[[#This Row],[Merchant Pricing]]/100)</f>
        <v>2</v>
      </c>
      <c r="X38" s="44">
        <f>IF(Table3[[#This Row],[Partner Pricing Type]]="FLAT",Table3[[#This Row],[Partner Pricing]],Table3[[#This Row],[Transaction Amt]]*Table3[[#This Row],[Partner Pricing]]/100)</f>
        <v>2</v>
      </c>
      <c r="Y38" s="44">
        <f>IF(Table3[[#This Row],[Edviron Buying type]]="FLAT",Table3[[#This Row],[Edviron Buying]],Table3[[#This Row],[Transaction Amt]]*Table3[[#This Row],[Edviron Buying]]/100)</f>
        <v>0</v>
      </c>
      <c r="Z38" s="44">
        <f t="shared" si="1"/>
        <v>0</v>
      </c>
      <c r="AA38" s="44">
        <f t="shared" si="2"/>
        <v>2</v>
      </c>
      <c r="AB38" s="44">
        <f t="shared" si="3"/>
        <v>2</v>
      </c>
      <c r="AC38" s="45">
        <f t="shared" si="4"/>
        <v>34327.36</v>
      </c>
      <c r="AD38" s="44">
        <f t="shared" si="5"/>
        <v>0</v>
      </c>
      <c r="AE38" s="44">
        <f t="shared" si="6"/>
        <v>2</v>
      </c>
      <c r="AF38" s="32"/>
    </row>
    <row r="39" s="30" customFormat="1" spans="14:32">
      <c r="N39" s="31"/>
      <c r="AF39" s="32"/>
    </row>
    <row r="40" s="30" customFormat="1" spans="14:32">
      <c r="N40" s="31"/>
      <c r="AF40" s="32"/>
    </row>
    <row r="41" s="30" customFormat="1" spans="14:32">
      <c r="N41" s="31"/>
      <c r="AF41" s="32"/>
    </row>
    <row r="42" s="30" customFormat="1" spans="14:32">
      <c r="N42" s="31"/>
      <c r="AF42" s="32"/>
    </row>
    <row r="43" s="30" customFormat="1" spans="14:32">
      <c r="N43" s="31"/>
      <c r="AF43" s="32"/>
    </row>
    <row r="44" s="30" customFormat="1" spans="14:32">
      <c r="N44" s="31"/>
      <c r="AF44" s="32"/>
    </row>
    <row r="45" s="30" customFormat="1" spans="14:32">
      <c r="N45" s="31"/>
      <c r="AF45" s="32"/>
    </row>
    <row r="46" s="30" customFormat="1" spans="14:32">
      <c r="N46" s="31"/>
      <c r="AF46" s="32"/>
    </row>
    <row r="47" s="30" customFormat="1" spans="14:32">
      <c r="N47" s="31"/>
      <c r="AF47" s="32"/>
    </row>
    <row r="48" s="30" customFormat="1" spans="14:32">
      <c r="N48" s="31"/>
      <c r="AF48" s="32"/>
    </row>
    <row r="49" s="30" customFormat="1" spans="14:32">
      <c r="N49" s="31"/>
      <c r="AF49" s="32"/>
    </row>
    <row r="50" s="30" customFormat="1" spans="14:32">
      <c r="N50" s="31"/>
      <c r="AF50" s="32"/>
    </row>
    <row r="51" s="30" customFormat="1" spans="14:32">
      <c r="N51" s="31"/>
      <c r="AF51" s="32"/>
    </row>
    <row r="52" s="30" customFormat="1" spans="14:32">
      <c r="N52" s="31"/>
      <c r="AF52" s="32"/>
    </row>
    <row r="53" s="30" customFormat="1" spans="14:32">
      <c r="N53" s="31"/>
      <c r="AF53" s="32"/>
    </row>
    <row r="54" s="30" customFormat="1" spans="14:32">
      <c r="N54" s="31"/>
      <c r="AF54" s="32"/>
    </row>
    <row r="55" s="30" customFormat="1" spans="14:32">
      <c r="N55" s="31"/>
      <c r="AF55" s="32"/>
    </row>
    <row r="56" s="30" customFormat="1" spans="14:32">
      <c r="N56" s="31"/>
      <c r="AF56" s="32"/>
    </row>
    <row r="57" s="30" customFormat="1" spans="14:32">
      <c r="N57" s="31"/>
      <c r="AF57" s="32"/>
    </row>
    <row r="58" s="30" customFormat="1" spans="14:32">
      <c r="N58" s="31"/>
      <c r="AF58" s="32"/>
    </row>
    <row r="59" s="30" customFormat="1" spans="14:32">
      <c r="N59" s="31"/>
      <c r="AF59" s="32"/>
    </row>
    <row r="60" s="30" customFormat="1" spans="14:32">
      <c r="N60" s="31"/>
      <c r="AF60" s="32"/>
    </row>
    <row r="61" s="30" customFormat="1" spans="14:32">
      <c r="N61" s="31"/>
      <c r="AF61" s="32"/>
    </row>
    <row r="62" s="30" customFormat="1" spans="14:32">
      <c r="N62" s="31"/>
      <c r="AF62" s="32"/>
    </row>
    <row r="63" s="30" customFormat="1" spans="14:32">
      <c r="N63" s="31"/>
      <c r="AF63" s="32"/>
    </row>
    <row r="64" s="30" customFormat="1" spans="14:32">
      <c r="N64" s="31"/>
      <c r="AF64" s="32"/>
    </row>
    <row r="65" s="30" customFormat="1" spans="14:32">
      <c r="N65" s="31"/>
      <c r="AF65" s="32"/>
    </row>
    <row r="66" s="30" customFormat="1" spans="14:32">
      <c r="N66" s="31"/>
      <c r="AF66" s="32"/>
    </row>
    <row r="67" s="30" customFormat="1" spans="14:32">
      <c r="N67" s="31"/>
      <c r="AF67" s="32"/>
    </row>
    <row r="68" s="30" customFormat="1" spans="14:32">
      <c r="N68" s="31"/>
      <c r="AF68" s="32"/>
    </row>
    <row r="69" s="30" customFormat="1" spans="14:32">
      <c r="N69" s="31"/>
      <c r="AF69" s="32"/>
    </row>
    <row r="70" s="30" customFormat="1" spans="14:32">
      <c r="N70" s="31"/>
      <c r="AF70" s="32"/>
    </row>
    <row r="71" s="30" customFormat="1" spans="14:32">
      <c r="N71" s="31"/>
      <c r="AF71" s="32"/>
    </row>
    <row r="72" s="30" customFormat="1" spans="14:32">
      <c r="N72" s="31"/>
      <c r="AF72" s="32"/>
    </row>
    <row r="73" s="30" customFormat="1" spans="14:32">
      <c r="N73" s="31"/>
      <c r="AF73" s="32"/>
    </row>
    <row r="74" s="30" customFormat="1" spans="14:32">
      <c r="N74" s="31"/>
      <c r="AF74" s="32"/>
    </row>
    <row r="75" s="30" customFormat="1" spans="14:32">
      <c r="N75" s="31"/>
      <c r="AF75" s="32"/>
    </row>
    <row r="76" s="30" customFormat="1" spans="14:32">
      <c r="N76" s="31"/>
      <c r="AF76" s="32"/>
    </row>
    <row r="77" s="30" customFormat="1" spans="14:32">
      <c r="N77" s="31"/>
      <c r="AF77" s="32"/>
    </row>
    <row r="78" s="30" customFormat="1" spans="14:32">
      <c r="N78" s="31"/>
      <c r="AF78" s="32"/>
    </row>
    <row r="79" s="30" customFormat="1" spans="14:32">
      <c r="N79" s="31"/>
      <c r="AF79" s="32"/>
    </row>
    <row r="80" s="30" customFormat="1" spans="14:32">
      <c r="N80" s="31"/>
      <c r="AF80" s="32"/>
    </row>
    <row r="81" s="30" customFormat="1" spans="14:32">
      <c r="N81" s="31"/>
      <c r="AF81" s="32"/>
    </row>
    <row r="82" s="30" customFormat="1" spans="14:32">
      <c r="N82" s="31"/>
      <c r="AF82" s="32"/>
    </row>
    <row r="83" s="30" customFormat="1" spans="14:32">
      <c r="N83" s="31"/>
      <c r="AF83" s="32"/>
    </row>
    <row r="84" s="30" customFormat="1" spans="14:32">
      <c r="N84" s="31"/>
      <c r="AF84" s="32"/>
    </row>
    <row r="85" s="30" customFormat="1" spans="14:32">
      <c r="N85" s="31"/>
      <c r="AF85" s="32"/>
    </row>
    <row r="86" s="30" customFormat="1" spans="14:32">
      <c r="N86" s="31"/>
      <c r="AF86" s="32"/>
    </row>
    <row r="87" s="30" customFormat="1" spans="14:32">
      <c r="N87" s="31"/>
      <c r="AF87" s="32"/>
    </row>
    <row r="88" s="30" customFormat="1" spans="14:32">
      <c r="N88" s="31"/>
      <c r="AF88" s="32"/>
    </row>
    <row r="89" s="30" customFormat="1" spans="14:32">
      <c r="N89" s="31"/>
      <c r="AF89" s="32"/>
    </row>
    <row r="90" s="30" customFormat="1" spans="14:32">
      <c r="N90" s="31"/>
      <c r="AF90" s="32"/>
    </row>
    <row r="91" s="30" customFormat="1" spans="14:32">
      <c r="N91" s="31"/>
      <c r="AF91" s="32"/>
    </row>
    <row r="92" s="30" customFormat="1" spans="14:32">
      <c r="N92" s="31"/>
      <c r="AF92" s="32"/>
    </row>
    <row r="93" s="30" customFormat="1" spans="14:32">
      <c r="N93" s="31"/>
      <c r="AF93" s="32"/>
    </row>
    <row r="94" s="30" customFormat="1" spans="14:32">
      <c r="N94" s="31"/>
      <c r="AF94" s="32"/>
    </row>
    <row r="95" s="30" customFormat="1" spans="14:32">
      <c r="N95" s="31"/>
      <c r="AF95" s="32"/>
    </row>
    <row r="96" s="30" customFormat="1" spans="14:32">
      <c r="N96" s="31"/>
      <c r="AF96" s="32"/>
    </row>
    <row r="97" s="30" customFormat="1" spans="14:32">
      <c r="N97" s="31"/>
      <c r="AF97" s="32"/>
    </row>
    <row r="98" s="30" customFormat="1" spans="14:32">
      <c r="N98" s="31"/>
      <c r="AF98" s="32"/>
    </row>
    <row r="99" s="30" customFormat="1" spans="14:32">
      <c r="N99" s="31"/>
      <c r="AF99" s="32"/>
    </row>
    <row r="100" s="30" customFormat="1" spans="14:32">
      <c r="N100" s="31"/>
      <c r="AF100" s="32"/>
    </row>
    <row r="101" s="30" customFormat="1" spans="14:32">
      <c r="N101" s="31"/>
      <c r="AF101" s="32"/>
    </row>
    <row r="102" s="30" customFormat="1" spans="14:32">
      <c r="N102" s="31"/>
      <c r="AF102" s="32"/>
    </row>
    <row r="103" s="30" customFormat="1" spans="14:32">
      <c r="N103" s="31"/>
      <c r="AF103" s="32"/>
    </row>
    <row r="104" s="30" customFormat="1" spans="14:32">
      <c r="N104" s="31"/>
      <c r="AF104" s="32"/>
    </row>
    <row r="105" s="30" customFormat="1" spans="14:32">
      <c r="N105" s="31"/>
      <c r="AF105" s="32"/>
    </row>
    <row r="106" s="30" customFormat="1" spans="14:32">
      <c r="N106" s="31"/>
      <c r="AF106" s="32"/>
    </row>
    <row r="107" s="30" customFormat="1" spans="14:32">
      <c r="N107" s="31"/>
      <c r="AF107" s="32"/>
    </row>
    <row r="108" s="30" customFormat="1" spans="14:32">
      <c r="N108" s="31"/>
      <c r="AF108" s="32"/>
    </row>
    <row r="109" s="30" customFormat="1" spans="14:32">
      <c r="N109" s="31"/>
      <c r="AF109" s="32"/>
    </row>
    <row r="110" s="30" customFormat="1" spans="14:32">
      <c r="N110" s="31"/>
      <c r="AF110" s="32"/>
    </row>
    <row r="111" s="30" customFormat="1" spans="14:32">
      <c r="N111" s="31"/>
      <c r="AF111" s="32"/>
    </row>
    <row r="112" s="30" customFormat="1" spans="14:32">
      <c r="N112" s="31"/>
      <c r="AF112" s="32"/>
    </row>
    <row r="113" s="30" customFormat="1" spans="14:32">
      <c r="N113" s="31"/>
      <c r="AF113" s="32"/>
    </row>
    <row r="114" s="30" customFormat="1" spans="14:32">
      <c r="N114" s="31"/>
      <c r="AF114" s="32"/>
    </row>
    <row r="115" s="30" customFormat="1" spans="14:32">
      <c r="N115" s="31"/>
      <c r="AF115" s="32"/>
    </row>
    <row r="116" s="30" customFormat="1" spans="14:32">
      <c r="N116" s="31"/>
      <c r="AF116" s="32"/>
    </row>
    <row r="117" s="30" customFormat="1" spans="14:32">
      <c r="N117" s="31"/>
      <c r="AF117" s="32"/>
    </row>
    <row r="118" s="30" customFormat="1" spans="14:32">
      <c r="N118" s="31"/>
      <c r="AF118" s="32"/>
    </row>
    <row r="119" s="30" customFormat="1" spans="14:32">
      <c r="N119" s="31"/>
      <c r="AF119" s="32"/>
    </row>
    <row r="120" s="30" customFormat="1" spans="14:32">
      <c r="N120" s="31"/>
      <c r="AF120" s="32"/>
    </row>
    <row r="121" s="30" customFormat="1" spans="14:32">
      <c r="N121" s="31"/>
      <c r="AF121" s="32"/>
    </row>
    <row r="122" s="30" customFormat="1" spans="14:32">
      <c r="N122" s="31"/>
      <c r="AF122" s="32"/>
    </row>
    <row r="123" s="30" customFormat="1" spans="14:32">
      <c r="N123" s="31"/>
      <c r="AF123" s="32"/>
    </row>
    <row r="124" s="30" customFormat="1" spans="14:32">
      <c r="N124" s="31"/>
      <c r="AF124" s="32"/>
    </row>
    <row r="125" s="30" customFormat="1" spans="14:32">
      <c r="N125" s="31"/>
      <c r="AF125" s="32"/>
    </row>
    <row r="126" s="30" customFormat="1" spans="14:32">
      <c r="N126" s="31"/>
      <c r="AF126" s="32"/>
    </row>
    <row r="127" s="30" customFormat="1" spans="14:32">
      <c r="N127" s="31"/>
      <c r="AF127" s="32"/>
    </row>
    <row r="128" s="30" customFormat="1" spans="14:32">
      <c r="N128" s="31"/>
      <c r="AF128" s="32"/>
    </row>
    <row r="129" s="30" customFormat="1" spans="14:32">
      <c r="N129" s="31"/>
      <c r="AF129" s="32"/>
    </row>
    <row r="130" s="30" customFormat="1" spans="14:32">
      <c r="N130" s="31"/>
      <c r="AF130" s="32"/>
    </row>
    <row r="131" s="30" customFormat="1" spans="14:32">
      <c r="N131" s="31"/>
      <c r="AF131" s="32"/>
    </row>
    <row r="132" s="30" customFormat="1" spans="14:32">
      <c r="N132" s="31"/>
      <c r="AF132" s="32"/>
    </row>
    <row r="133" s="30" customFormat="1" spans="14:32">
      <c r="N133" s="31"/>
      <c r="AF133" s="32"/>
    </row>
    <row r="134" s="30" customFormat="1" spans="14:32">
      <c r="N134" s="31"/>
      <c r="AF134" s="32"/>
    </row>
    <row r="135" s="30" customFormat="1" spans="14:32">
      <c r="N135" s="31"/>
      <c r="AF135" s="32"/>
    </row>
    <row r="136" s="30" customFormat="1" spans="14:32">
      <c r="N136" s="31"/>
      <c r="AF136" s="32"/>
    </row>
    <row r="137" s="30" customFormat="1" spans="14:32">
      <c r="N137" s="31"/>
      <c r="AF137" s="32"/>
    </row>
    <row r="138" s="30" customFormat="1" spans="14:32">
      <c r="N138" s="31"/>
      <c r="AF138" s="32"/>
    </row>
    <row r="139" s="30" customFormat="1" spans="14:32">
      <c r="N139" s="31"/>
      <c r="AF139" s="32"/>
    </row>
    <row r="140" s="30" customFormat="1" spans="14:32">
      <c r="N140" s="31"/>
      <c r="AF140" s="32"/>
    </row>
    <row r="141" s="30" customFormat="1" spans="14:32">
      <c r="N141" s="31"/>
      <c r="AF141" s="32"/>
    </row>
    <row r="142" s="30" customFormat="1" spans="14:32">
      <c r="N142" s="31"/>
      <c r="AF142" s="32"/>
    </row>
    <row r="143" s="30" customFormat="1" spans="14:32">
      <c r="N143" s="31"/>
      <c r="AF143" s="32"/>
    </row>
    <row r="144" s="30" customFormat="1" spans="14:32">
      <c r="N144" s="31"/>
      <c r="AF144" s="32"/>
    </row>
    <row r="145" s="30" customFormat="1" spans="14:32">
      <c r="N145" s="31"/>
      <c r="AF145" s="32"/>
    </row>
    <row r="146" s="30" customFormat="1" spans="14:32">
      <c r="N146" s="31"/>
      <c r="AF146" s="32"/>
    </row>
    <row r="147" s="30" customFormat="1" spans="14:32">
      <c r="N147" s="31"/>
      <c r="AF147" s="32"/>
    </row>
    <row r="148" s="30" customFormat="1" spans="14:32">
      <c r="N148" s="31"/>
      <c r="AF148" s="32"/>
    </row>
    <row r="149" s="30" customFormat="1" spans="14:32">
      <c r="N149" s="31"/>
      <c r="AF149" s="32"/>
    </row>
    <row r="150" s="30" customFormat="1" spans="14:32">
      <c r="N150" s="31"/>
      <c r="AF150" s="32"/>
    </row>
    <row r="151" s="30" customFormat="1" spans="14:32">
      <c r="N151" s="31"/>
      <c r="AF151" s="32"/>
    </row>
    <row r="152" s="30" customFormat="1" spans="14:32">
      <c r="N152" s="31"/>
      <c r="AF152" s="32"/>
    </row>
    <row r="153" s="30" customFormat="1" spans="14:32">
      <c r="N153" s="31"/>
      <c r="AF153" s="32"/>
    </row>
    <row r="154" s="30" customFormat="1" spans="14:32">
      <c r="N154" s="31"/>
      <c r="AF154" s="32"/>
    </row>
    <row r="155" s="30" customFormat="1" spans="14:32">
      <c r="N155" s="31"/>
      <c r="AF155" s="32"/>
    </row>
    <row r="156" s="30" customFormat="1" spans="14:32">
      <c r="N156" s="31"/>
      <c r="AF156" s="32"/>
    </row>
    <row r="157" s="30" customFormat="1" spans="14:32">
      <c r="N157" s="31"/>
      <c r="AF157" s="32"/>
    </row>
    <row r="158" s="30" customFormat="1" spans="14:32">
      <c r="N158" s="31"/>
      <c r="AF158" s="32"/>
    </row>
    <row r="159" s="30" customFormat="1" spans="14:32">
      <c r="N159" s="31"/>
      <c r="AF159" s="32"/>
    </row>
    <row r="160" s="30" customFormat="1" spans="14:32">
      <c r="N160" s="31"/>
      <c r="AF160" s="32"/>
    </row>
    <row r="161" s="30" customFormat="1" spans="14:32">
      <c r="N161" s="31"/>
      <c r="AF161" s="32"/>
    </row>
    <row r="162" s="30" customFormat="1" spans="14:32">
      <c r="N162" s="31"/>
      <c r="AF162" s="32"/>
    </row>
    <row r="163" s="30" customFormat="1" spans="14:32">
      <c r="N163" s="31"/>
      <c r="AF163" s="32"/>
    </row>
    <row r="164" s="30" customFormat="1" spans="14:32">
      <c r="N164" s="31"/>
      <c r="AF164" s="32"/>
    </row>
    <row r="165" s="30" customFormat="1" spans="14:32">
      <c r="N165" s="31"/>
      <c r="AF165" s="32"/>
    </row>
    <row r="166" s="30" customFormat="1" spans="14:32">
      <c r="N166" s="31"/>
      <c r="AF166" s="32"/>
    </row>
    <row r="167" s="30" customFormat="1" spans="14:32">
      <c r="N167" s="31"/>
      <c r="AF167" s="32"/>
    </row>
    <row r="168" s="30" customFormat="1" spans="14:32">
      <c r="N168" s="31"/>
      <c r="AF168" s="32"/>
    </row>
    <row r="169" s="30" customFormat="1" spans="14:32">
      <c r="N169" s="31"/>
      <c r="AF169" s="32"/>
    </row>
    <row r="170" s="30" customFormat="1" spans="14:32">
      <c r="N170" s="31"/>
      <c r="AF170" s="32"/>
    </row>
    <row r="171" s="30" customFormat="1" spans="14:32">
      <c r="N171" s="31"/>
      <c r="AF171" s="32"/>
    </row>
    <row r="172" s="30" customFormat="1" spans="14:32">
      <c r="N172" s="31"/>
      <c r="AF172" s="32"/>
    </row>
    <row r="173" s="30" customFormat="1" spans="14:32">
      <c r="N173" s="31"/>
      <c r="AF173" s="32"/>
    </row>
    <row r="174" s="30" customFormat="1" spans="14:32">
      <c r="N174" s="31"/>
      <c r="AF174" s="32"/>
    </row>
    <row r="175" s="30" customFormat="1" spans="14:32">
      <c r="N175" s="31"/>
      <c r="AF175" s="32"/>
    </row>
    <row r="176" s="30" customFormat="1" spans="14:32">
      <c r="N176" s="31"/>
      <c r="AF176" s="32"/>
    </row>
    <row r="177" s="30" customFormat="1" spans="14:32">
      <c r="N177" s="31"/>
      <c r="AF177" s="32"/>
    </row>
    <row r="178" s="30" customFormat="1" spans="14:32">
      <c r="N178" s="31"/>
      <c r="AF178" s="32"/>
    </row>
    <row r="179" s="30" customFormat="1" spans="14:32">
      <c r="N179" s="31"/>
      <c r="AF179" s="32"/>
    </row>
    <row r="180" s="30" customFormat="1" spans="14:32">
      <c r="N180" s="31"/>
      <c r="AF180" s="32"/>
    </row>
    <row r="181" s="30" customFormat="1" spans="14:32">
      <c r="N181" s="31"/>
      <c r="AF181" s="32"/>
    </row>
    <row r="182" s="30" customFormat="1" spans="14:32">
      <c r="N182" s="31"/>
      <c r="AF182" s="32"/>
    </row>
    <row r="183" s="30" customFormat="1" spans="14:32">
      <c r="N183" s="31"/>
      <c r="AF183" s="32"/>
    </row>
    <row r="184" s="30" customFormat="1" spans="14:32">
      <c r="N184" s="31"/>
      <c r="AF184" s="32"/>
    </row>
    <row r="185" s="30" customFormat="1" spans="14:32">
      <c r="N185" s="31"/>
      <c r="AF185" s="32"/>
    </row>
    <row r="186" s="30" customFormat="1" spans="14:32">
      <c r="N186" s="31"/>
      <c r="AF186" s="32"/>
    </row>
    <row r="187" s="30" customFormat="1" spans="14:32">
      <c r="N187" s="31"/>
      <c r="AF187" s="32"/>
    </row>
    <row r="188" s="30" customFormat="1" spans="14:32">
      <c r="N188" s="31"/>
      <c r="AF188" s="32"/>
    </row>
    <row r="189" s="30" customFormat="1" spans="14:32">
      <c r="N189" s="31"/>
      <c r="AF189" s="32"/>
    </row>
    <row r="190" s="30" customFormat="1" spans="14:32">
      <c r="N190" s="31"/>
      <c r="AF190" s="32"/>
    </row>
    <row r="191" s="30" customFormat="1" spans="14:32">
      <c r="N191" s="31"/>
      <c r="AF191" s="32"/>
    </row>
    <row r="192" s="30" customFormat="1" spans="14:32">
      <c r="N192" s="31"/>
      <c r="AF192" s="32"/>
    </row>
    <row r="193" s="30" customFormat="1" spans="14:32">
      <c r="N193" s="31"/>
      <c r="AF193" s="32"/>
    </row>
    <row r="194" s="30" customFormat="1" spans="14:32">
      <c r="N194" s="31"/>
      <c r="AF194" s="32"/>
    </row>
    <row r="195" s="30" customFormat="1" spans="14:32">
      <c r="N195" s="31"/>
      <c r="AF195" s="32"/>
    </row>
    <row r="196" s="30" customFormat="1" spans="14:32">
      <c r="N196" s="31"/>
      <c r="AF196" s="32"/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42"/>
  <sheetViews>
    <sheetView workbookViewId="0">
      <selection activeCell="C23" sqref="C23"/>
    </sheetView>
  </sheetViews>
  <sheetFormatPr defaultColWidth="8.88888888888889" defaultRowHeight="14.4" outlineLevelCol="5"/>
  <cols>
    <col min="1" max="1" width="11.6666666666667"/>
    <col min="2" max="7" width="28.4444444444444"/>
  </cols>
  <sheetData>
    <row r="3" spans="1:6">
      <c r="A3" t="s">
        <v>182</v>
      </c>
      <c r="B3" t="s">
        <v>230</v>
      </c>
      <c r="C3" t="s">
        <v>231</v>
      </c>
      <c r="D3" t="s">
        <v>232</v>
      </c>
      <c r="E3" t="s">
        <v>233</v>
      </c>
      <c r="F3" t="s">
        <v>234</v>
      </c>
    </row>
    <row r="4" spans="1:1">
      <c r="A4" t="s">
        <v>235</v>
      </c>
    </row>
    <row r="5" spans="1:6">
      <c r="A5" t="s">
        <v>236</v>
      </c>
      <c r="B5">
        <v>1</v>
      </c>
      <c r="C5">
        <v>34327.36</v>
      </c>
      <c r="D5">
        <v>0</v>
      </c>
      <c r="E5">
        <v>2</v>
      </c>
      <c r="F5">
        <v>2</v>
      </c>
    </row>
    <row r="6" spans="1:6">
      <c r="A6" t="s">
        <v>237</v>
      </c>
      <c r="B6">
        <v>1</v>
      </c>
      <c r="C6">
        <v>34327.36</v>
      </c>
      <c r="D6">
        <v>0</v>
      </c>
      <c r="E6">
        <v>2</v>
      </c>
      <c r="F6">
        <v>2</v>
      </c>
    </row>
    <row r="7" spans="1:6">
      <c r="A7" t="s">
        <v>238</v>
      </c>
      <c r="B7">
        <v>1</v>
      </c>
      <c r="C7">
        <v>38102.36</v>
      </c>
      <c r="D7">
        <v>0</v>
      </c>
      <c r="E7">
        <v>2</v>
      </c>
      <c r="F7">
        <v>2</v>
      </c>
    </row>
    <row r="8" spans="1:6">
      <c r="A8" t="s">
        <v>239</v>
      </c>
      <c r="B8">
        <v>1</v>
      </c>
      <c r="C8">
        <v>10352.36</v>
      </c>
      <c r="D8">
        <v>0</v>
      </c>
      <c r="E8">
        <v>2</v>
      </c>
      <c r="F8">
        <v>2</v>
      </c>
    </row>
    <row r="9" spans="1:6">
      <c r="A9" t="s">
        <v>240</v>
      </c>
      <c r="B9">
        <v>1</v>
      </c>
      <c r="C9">
        <v>10952.36</v>
      </c>
      <c r="D9">
        <v>0</v>
      </c>
      <c r="E9">
        <v>2</v>
      </c>
      <c r="F9">
        <v>2</v>
      </c>
    </row>
    <row r="10" spans="1:6">
      <c r="A10" t="s">
        <v>241</v>
      </c>
      <c r="B10">
        <v>1</v>
      </c>
      <c r="C10">
        <v>10352.36</v>
      </c>
      <c r="D10">
        <v>0</v>
      </c>
      <c r="E10">
        <v>2</v>
      </c>
      <c r="F10">
        <v>2</v>
      </c>
    </row>
    <row r="11" spans="1:6">
      <c r="A11" t="s">
        <v>242</v>
      </c>
      <c r="B11">
        <v>1</v>
      </c>
      <c r="C11">
        <v>10952.36</v>
      </c>
      <c r="D11">
        <v>0</v>
      </c>
      <c r="E11">
        <v>2</v>
      </c>
      <c r="F11">
        <v>2</v>
      </c>
    </row>
    <row r="12" spans="1:6">
      <c r="A12" t="s">
        <v>243</v>
      </c>
      <c r="B12">
        <v>1</v>
      </c>
      <c r="C12">
        <v>74152.36</v>
      </c>
      <c r="D12">
        <v>0</v>
      </c>
      <c r="E12">
        <v>2</v>
      </c>
      <c r="F12">
        <v>2</v>
      </c>
    </row>
    <row r="13" spans="1:6">
      <c r="A13" t="s">
        <v>244</v>
      </c>
      <c r="B13">
        <v>1</v>
      </c>
      <c r="C13">
        <v>10352.36</v>
      </c>
      <c r="D13">
        <v>0</v>
      </c>
      <c r="E13">
        <v>2</v>
      </c>
      <c r="F13">
        <v>2</v>
      </c>
    </row>
    <row r="14" spans="1:6">
      <c r="A14" t="s">
        <v>245</v>
      </c>
      <c r="B14">
        <v>1</v>
      </c>
      <c r="C14">
        <v>10352.36</v>
      </c>
      <c r="D14">
        <v>0</v>
      </c>
      <c r="E14">
        <v>2</v>
      </c>
      <c r="F14">
        <v>2</v>
      </c>
    </row>
    <row r="15" spans="1:6">
      <c r="A15" t="s">
        <v>246</v>
      </c>
      <c r="B15">
        <v>1</v>
      </c>
      <c r="C15">
        <v>34327.36</v>
      </c>
      <c r="D15">
        <v>0</v>
      </c>
      <c r="E15">
        <v>2</v>
      </c>
      <c r="F15">
        <v>2</v>
      </c>
    </row>
    <row r="16" spans="1:6">
      <c r="A16" t="s">
        <v>247</v>
      </c>
      <c r="B16">
        <v>1</v>
      </c>
      <c r="C16">
        <v>10952.36</v>
      </c>
      <c r="D16">
        <v>0</v>
      </c>
      <c r="E16">
        <v>2</v>
      </c>
      <c r="F16">
        <v>2</v>
      </c>
    </row>
    <row r="17" spans="1:6">
      <c r="A17" t="s">
        <v>248</v>
      </c>
      <c r="B17">
        <v>1</v>
      </c>
      <c r="C17">
        <v>10352.36</v>
      </c>
      <c r="D17">
        <v>0</v>
      </c>
      <c r="E17">
        <v>2</v>
      </c>
      <c r="F17">
        <v>2</v>
      </c>
    </row>
    <row r="18" spans="1:6">
      <c r="A18" t="s">
        <v>249</v>
      </c>
      <c r="B18">
        <v>1</v>
      </c>
      <c r="C18">
        <v>34327.36</v>
      </c>
      <c r="D18">
        <v>0</v>
      </c>
      <c r="E18">
        <v>2</v>
      </c>
      <c r="F18">
        <v>2</v>
      </c>
    </row>
    <row r="19" spans="1:6">
      <c r="A19" t="s">
        <v>250</v>
      </c>
      <c r="B19">
        <v>1</v>
      </c>
      <c r="C19">
        <v>10952.36</v>
      </c>
      <c r="D19">
        <v>0</v>
      </c>
      <c r="E19">
        <v>2</v>
      </c>
      <c r="F19">
        <v>2</v>
      </c>
    </row>
    <row r="20" spans="1:6">
      <c r="A20" t="s">
        <v>251</v>
      </c>
      <c r="B20">
        <v>1</v>
      </c>
      <c r="C20">
        <v>34327.36</v>
      </c>
      <c r="D20">
        <v>0</v>
      </c>
      <c r="E20">
        <v>2</v>
      </c>
      <c r="F20">
        <v>2</v>
      </c>
    </row>
    <row r="21" spans="1:6">
      <c r="A21" t="s">
        <v>252</v>
      </c>
      <c r="B21">
        <v>1</v>
      </c>
      <c r="C21">
        <v>34327.36</v>
      </c>
      <c r="D21">
        <v>0</v>
      </c>
      <c r="E21">
        <v>2</v>
      </c>
      <c r="F21">
        <v>2</v>
      </c>
    </row>
    <row r="22" spans="1:6">
      <c r="A22" t="s">
        <v>253</v>
      </c>
      <c r="B22">
        <v>1</v>
      </c>
      <c r="C22">
        <v>10352.36</v>
      </c>
      <c r="D22">
        <v>0</v>
      </c>
      <c r="E22">
        <v>2</v>
      </c>
      <c r="F22">
        <v>2</v>
      </c>
    </row>
    <row r="23" spans="1:6">
      <c r="A23" t="s">
        <v>254</v>
      </c>
      <c r="B23">
        <v>1</v>
      </c>
      <c r="C23">
        <v>34327.36</v>
      </c>
      <c r="D23">
        <v>0</v>
      </c>
      <c r="E23">
        <v>2</v>
      </c>
      <c r="F23">
        <v>2</v>
      </c>
    </row>
    <row r="24" spans="1:6">
      <c r="A24" t="s">
        <v>255</v>
      </c>
      <c r="B24">
        <v>1</v>
      </c>
      <c r="C24">
        <v>10952.36</v>
      </c>
      <c r="D24">
        <v>0</v>
      </c>
      <c r="E24">
        <v>2</v>
      </c>
      <c r="F24">
        <v>2</v>
      </c>
    </row>
    <row r="25" spans="1:6">
      <c r="A25" t="s">
        <v>256</v>
      </c>
      <c r="B25">
        <v>1</v>
      </c>
      <c r="C25">
        <v>72452.36</v>
      </c>
      <c r="D25">
        <v>0</v>
      </c>
      <c r="E25">
        <v>2</v>
      </c>
      <c r="F25">
        <v>2</v>
      </c>
    </row>
    <row r="26" spans="1:6">
      <c r="A26" t="s">
        <v>257</v>
      </c>
      <c r="B26">
        <v>1</v>
      </c>
      <c r="C26">
        <v>74152.36</v>
      </c>
      <c r="D26">
        <v>0</v>
      </c>
      <c r="E26">
        <v>2</v>
      </c>
      <c r="F26">
        <v>2</v>
      </c>
    </row>
    <row r="27" spans="1:6">
      <c r="A27" t="s">
        <v>258</v>
      </c>
      <c r="B27">
        <v>1</v>
      </c>
      <c r="C27">
        <v>3802.36</v>
      </c>
      <c r="D27">
        <v>0</v>
      </c>
      <c r="E27">
        <v>2</v>
      </c>
      <c r="F27">
        <v>2</v>
      </c>
    </row>
    <row r="28" spans="1:6">
      <c r="A28" t="s">
        <v>259</v>
      </c>
      <c r="B28">
        <v>1</v>
      </c>
      <c r="C28">
        <v>36102.36</v>
      </c>
      <c r="D28">
        <v>0</v>
      </c>
      <c r="E28">
        <v>2</v>
      </c>
      <c r="F28">
        <v>2</v>
      </c>
    </row>
    <row r="29" spans="1:6">
      <c r="A29" t="s">
        <v>260</v>
      </c>
      <c r="B29">
        <v>1</v>
      </c>
      <c r="C29">
        <v>15002.36</v>
      </c>
      <c r="D29">
        <v>0</v>
      </c>
      <c r="E29">
        <v>2</v>
      </c>
      <c r="F29">
        <v>2</v>
      </c>
    </row>
    <row r="30" spans="1:6">
      <c r="A30" t="s">
        <v>261</v>
      </c>
      <c r="B30">
        <v>1</v>
      </c>
      <c r="C30">
        <v>72152.36</v>
      </c>
      <c r="D30">
        <v>0</v>
      </c>
      <c r="E30">
        <v>2</v>
      </c>
      <c r="F30">
        <v>2</v>
      </c>
    </row>
    <row r="31" spans="1:6">
      <c r="A31" t="s">
        <v>262</v>
      </c>
      <c r="B31">
        <v>1</v>
      </c>
      <c r="C31">
        <v>10002.36</v>
      </c>
      <c r="D31">
        <v>0</v>
      </c>
      <c r="E31">
        <v>2</v>
      </c>
      <c r="F31">
        <v>2</v>
      </c>
    </row>
    <row r="32" spans="1:6">
      <c r="A32" t="s">
        <v>263</v>
      </c>
      <c r="B32">
        <v>1</v>
      </c>
      <c r="C32">
        <v>10952.36</v>
      </c>
      <c r="D32">
        <v>0</v>
      </c>
      <c r="E32">
        <v>2</v>
      </c>
      <c r="F32">
        <v>2</v>
      </c>
    </row>
    <row r="33" spans="1:6">
      <c r="A33" t="s">
        <v>264</v>
      </c>
      <c r="B33">
        <v>1</v>
      </c>
      <c r="C33">
        <v>5002.36</v>
      </c>
      <c r="D33">
        <v>0</v>
      </c>
      <c r="E33">
        <v>2</v>
      </c>
      <c r="F33">
        <v>2</v>
      </c>
    </row>
    <row r="34" spans="1:6">
      <c r="A34" t="s">
        <v>265</v>
      </c>
      <c r="B34">
        <v>1</v>
      </c>
      <c r="C34">
        <v>10352.36</v>
      </c>
      <c r="D34">
        <v>0</v>
      </c>
      <c r="E34">
        <v>2</v>
      </c>
      <c r="F34">
        <v>2</v>
      </c>
    </row>
    <row r="35" spans="1:6">
      <c r="A35" t="s">
        <v>266</v>
      </c>
      <c r="B35">
        <v>1</v>
      </c>
      <c r="C35">
        <v>5002.36</v>
      </c>
      <c r="D35">
        <v>0</v>
      </c>
      <c r="E35">
        <v>2</v>
      </c>
      <c r="F35">
        <v>2</v>
      </c>
    </row>
    <row r="36" spans="1:6">
      <c r="A36" t="s">
        <v>267</v>
      </c>
      <c r="B36">
        <v>1</v>
      </c>
      <c r="C36">
        <v>34327.36</v>
      </c>
      <c r="D36">
        <v>0</v>
      </c>
      <c r="E36">
        <v>2</v>
      </c>
      <c r="F36">
        <v>2</v>
      </c>
    </row>
    <row r="37" spans="1:6">
      <c r="A37" t="s">
        <v>268</v>
      </c>
      <c r="B37">
        <v>1</v>
      </c>
      <c r="C37">
        <v>10002.36</v>
      </c>
      <c r="D37">
        <v>0</v>
      </c>
      <c r="E37">
        <v>2</v>
      </c>
      <c r="F37">
        <v>2</v>
      </c>
    </row>
    <row r="38" spans="1:6">
      <c r="A38" t="s">
        <v>269</v>
      </c>
      <c r="B38">
        <v>1</v>
      </c>
      <c r="C38">
        <v>34327.36</v>
      </c>
      <c r="D38">
        <v>0</v>
      </c>
      <c r="E38">
        <v>2</v>
      </c>
      <c r="F38">
        <v>2</v>
      </c>
    </row>
    <row r="39" spans="1:6">
      <c r="A39" t="s">
        <v>270</v>
      </c>
      <c r="B39">
        <v>1</v>
      </c>
      <c r="C39">
        <v>18838.36</v>
      </c>
      <c r="D39">
        <v>0</v>
      </c>
      <c r="E39">
        <v>2</v>
      </c>
      <c r="F39">
        <v>2</v>
      </c>
    </row>
    <row r="40" spans="1:6">
      <c r="A40" t="s">
        <v>271</v>
      </c>
      <c r="B40">
        <v>1</v>
      </c>
      <c r="C40">
        <v>10578.36</v>
      </c>
      <c r="D40">
        <v>0</v>
      </c>
      <c r="E40">
        <v>2</v>
      </c>
      <c r="F40">
        <v>2</v>
      </c>
    </row>
    <row r="41" spans="1:6">
      <c r="A41" t="s">
        <v>272</v>
      </c>
      <c r="B41">
        <v>1</v>
      </c>
      <c r="C41">
        <v>3.36</v>
      </c>
      <c r="D41">
        <v>0</v>
      </c>
      <c r="E41">
        <v>2</v>
      </c>
      <c r="F41">
        <v>2</v>
      </c>
    </row>
    <row r="42" spans="1:6">
      <c r="A42" t="s">
        <v>273</v>
      </c>
      <c r="B42">
        <v>37</v>
      </c>
      <c r="C42">
        <v>892475.32</v>
      </c>
      <c r="D42">
        <v>0</v>
      </c>
      <c r="E42">
        <v>74</v>
      </c>
      <c r="F42">
        <v>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8"/>
  <sheetViews>
    <sheetView topLeftCell="B1" workbookViewId="0">
      <selection activeCell="H4" sqref="H4"/>
    </sheetView>
  </sheetViews>
  <sheetFormatPr defaultColWidth="8.88888888888889" defaultRowHeight="14.4" outlineLevelRow="7" outlineLevelCol="7"/>
  <cols>
    <col min="1" max="1" width="52.2222222222222"/>
    <col min="2" max="6" width="28.4444444444444"/>
    <col min="8" max="8" width="16.7777777777778" customWidth="1"/>
  </cols>
  <sheetData>
    <row r="3" spans="1:8">
      <c r="A3" t="s">
        <v>1</v>
      </c>
      <c r="B3" t="s">
        <v>230</v>
      </c>
      <c r="C3" t="s">
        <v>231</v>
      </c>
      <c r="D3" t="s">
        <v>232</v>
      </c>
      <c r="E3" t="s">
        <v>233</v>
      </c>
      <c r="F3" t="s">
        <v>234</v>
      </c>
      <c r="H3" t="s">
        <v>274</v>
      </c>
    </row>
    <row r="4" spans="1:8">
      <c r="A4" t="s">
        <v>32</v>
      </c>
      <c r="B4">
        <v>8</v>
      </c>
      <c r="C4">
        <v>74431.88</v>
      </c>
      <c r="D4">
        <v>0</v>
      </c>
      <c r="E4">
        <v>16</v>
      </c>
      <c r="F4">
        <v>16</v>
      </c>
      <c r="H4" s="29">
        <f>GETPIVOTDATA("Sum of Edviron Gross Revenue",$A$3)/GETPIVOTDATA("Sum of Transaction Amt",$A$3)</f>
        <v>8.29154580991663e-5</v>
      </c>
    </row>
    <row r="5" spans="1:6">
      <c r="A5" t="s">
        <v>21</v>
      </c>
      <c r="B5">
        <v>1</v>
      </c>
      <c r="C5">
        <v>3802.36</v>
      </c>
      <c r="D5">
        <v>0</v>
      </c>
      <c r="E5">
        <v>2</v>
      </c>
      <c r="F5">
        <v>2</v>
      </c>
    </row>
    <row r="6" spans="1:6">
      <c r="A6" t="s">
        <v>66</v>
      </c>
      <c r="B6">
        <v>28</v>
      </c>
      <c r="C6">
        <v>814241.08</v>
      </c>
      <c r="D6">
        <v>0</v>
      </c>
      <c r="E6">
        <v>56</v>
      </c>
      <c r="F6">
        <v>56</v>
      </c>
    </row>
    <row r="7" spans="1:1">
      <c r="A7" t="s">
        <v>235</v>
      </c>
    </row>
    <row r="8" spans="1:6">
      <c r="A8" t="s">
        <v>273</v>
      </c>
      <c r="B8">
        <v>37</v>
      </c>
      <c r="C8">
        <v>892475.32</v>
      </c>
      <c r="D8">
        <v>0</v>
      </c>
      <c r="E8">
        <v>74</v>
      </c>
      <c r="F8">
        <v>74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7"/>
  <sheetViews>
    <sheetView workbookViewId="0">
      <selection activeCell="B17" sqref="B17"/>
    </sheetView>
  </sheetViews>
  <sheetFormatPr defaultColWidth="8.88888888888889" defaultRowHeight="14.4" outlineLevelCol="4"/>
  <cols>
    <col min="1" max="1" width="11.6666666666667"/>
    <col min="2" max="2" width="17.7777777777778"/>
    <col min="3" max="5" width="24"/>
  </cols>
  <sheetData>
    <row r="3" spans="1:5">
      <c r="A3" t="s">
        <v>13</v>
      </c>
      <c r="B3" t="s">
        <v>8</v>
      </c>
      <c r="C3" t="s">
        <v>231</v>
      </c>
      <c r="D3" t="s">
        <v>230</v>
      </c>
      <c r="E3" t="s">
        <v>232</v>
      </c>
    </row>
    <row r="4" spans="1:5">
      <c r="A4" t="s">
        <v>30</v>
      </c>
      <c r="C4">
        <v>78234.24</v>
      </c>
      <c r="D4">
        <v>9</v>
      </c>
      <c r="E4">
        <v>0</v>
      </c>
    </row>
    <row r="5" spans="2:5">
      <c r="B5" t="s">
        <v>60</v>
      </c>
      <c r="C5">
        <v>10581.72</v>
      </c>
      <c r="D5">
        <v>2</v>
      </c>
      <c r="E5">
        <v>0</v>
      </c>
    </row>
    <row r="6" spans="2:5">
      <c r="B6" t="s">
        <v>26</v>
      </c>
      <c r="C6">
        <v>67652.52</v>
      </c>
      <c r="D6">
        <v>7</v>
      </c>
      <c r="E6">
        <v>0</v>
      </c>
    </row>
    <row r="7" spans="1:5">
      <c r="A7" t="s">
        <v>71</v>
      </c>
      <c r="C7">
        <v>814241.08</v>
      </c>
      <c r="D7">
        <v>28</v>
      </c>
      <c r="E7">
        <v>0</v>
      </c>
    </row>
    <row r="8" spans="2:5">
      <c r="B8" t="s">
        <v>79</v>
      </c>
      <c r="C8">
        <v>155943.88</v>
      </c>
      <c r="D8">
        <v>8</v>
      </c>
      <c r="E8">
        <v>0</v>
      </c>
    </row>
    <row r="9" spans="2:5">
      <c r="B9" t="s">
        <v>60</v>
      </c>
      <c r="C9">
        <v>658297.2</v>
      </c>
      <c r="D9">
        <v>20</v>
      </c>
      <c r="E9">
        <v>0</v>
      </c>
    </row>
    <row r="10" spans="1:1">
      <c r="A10" t="s">
        <v>235</v>
      </c>
    </row>
    <row r="11" spans="1:5">
      <c r="A11" t="s">
        <v>273</v>
      </c>
      <c r="C11">
        <v>892475.32</v>
      </c>
      <c r="D11">
        <v>37</v>
      </c>
      <c r="E11">
        <v>0</v>
      </c>
    </row>
    <row r="14" spans="1:2">
      <c r="A14" t="s">
        <v>9</v>
      </c>
      <c r="B14" t="s">
        <v>230</v>
      </c>
    </row>
    <row r="15" spans="1:4">
      <c r="A15" t="s">
        <v>27</v>
      </c>
      <c r="B15" s="28">
        <v>1</v>
      </c>
      <c r="D15" t="s">
        <v>275</v>
      </c>
    </row>
    <row r="16" spans="1:4">
      <c r="A16" t="s">
        <v>235</v>
      </c>
      <c r="B16" s="28">
        <v>0</v>
      </c>
      <c r="D16">
        <f>GETPIVOTDATA("Edviron order ID",$A$14)/GETPIVOTDATA("Edviron order ID",$A$14)</f>
        <v>1</v>
      </c>
    </row>
    <row r="17" spans="1:2">
      <c r="A17" t="s">
        <v>273</v>
      </c>
      <c r="B17" s="28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workbookViewId="0">
      <selection activeCell="E6" sqref="E6"/>
    </sheetView>
  </sheetViews>
  <sheetFormatPr defaultColWidth="8.88888888888889" defaultRowHeight="14.4" outlineLevelCol="4"/>
  <cols>
    <col min="1" max="1" width="11.6666666666667"/>
    <col min="2" max="2" width="16.5555555555556"/>
    <col min="3" max="3" width="52.2222222222222"/>
    <col min="4" max="5" width="28.8888888888889"/>
  </cols>
  <sheetData>
    <row r="3" spans="1:5">
      <c r="A3" t="s">
        <v>9</v>
      </c>
      <c r="B3" t="s">
        <v>14</v>
      </c>
      <c r="C3" t="s">
        <v>1</v>
      </c>
      <c r="D3" t="s">
        <v>276</v>
      </c>
      <c r="E3" t="s">
        <v>233</v>
      </c>
    </row>
    <row r="4" spans="1:5">
      <c r="A4" t="s">
        <v>27</v>
      </c>
      <c r="D4">
        <v>0</v>
      </c>
      <c r="E4">
        <v>74</v>
      </c>
    </row>
    <row r="5" spans="2:5">
      <c r="B5" t="s">
        <v>27</v>
      </c>
      <c r="D5">
        <v>0</v>
      </c>
      <c r="E5">
        <v>74</v>
      </c>
    </row>
    <row r="6" spans="3:5">
      <c r="C6" t="s">
        <v>32</v>
      </c>
      <c r="D6">
        <v>0</v>
      </c>
      <c r="E6">
        <v>16</v>
      </c>
    </row>
    <row r="7" spans="3:5">
      <c r="C7" t="s">
        <v>21</v>
      </c>
      <c r="D7">
        <v>0</v>
      </c>
      <c r="E7">
        <v>2</v>
      </c>
    </row>
    <row r="8" spans="3:5">
      <c r="C8" t="s">
        <v>66</v>
      </c>
      <c r="D8">
        <v>0</v>
      </c>
      <c r="E8">
        <v>56</v>
      </c>
    </row>
    <row r="9" spans="1:5">
      <c r="A9" t="s">
        <v>273</v>
      </c>
      <c r="D9">
        <v>0</v>
      </c>
      <c r="E9">
        <v>74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workbookViewId="0">
      <selection activeCell="G12" sqref="G12"/>
    </sheetView>
  </sheetViews>
  <sheetFormatPr defaultColWidth="8.88888888888889" defaultRowHeight="14.4"/>
  <cols>
    <col min="1" max="1" width="23.1111111111111" customWidth="1"/>
    <col min="2" max="2" width="13.4444444444444" customWidth="1"/>
    <col min="4" max="4" width="20" customWidth="1"/>
    <col min="5" max="5" width="19.6666666666667" customWidth="1"/>
    <col min="6" max="6" width="16.4444444444444" customWidth="1"/>
    <col min="7" max="7" width="13.1111111111111" customWidth="1"/>
    <col min="8" max="8" width="19.5555555555556" customWidth="1"/>
  </cols>
  <sheetData>
    <row r="1" ht="17" customHeight="1" spans="4:6">
      <c r="D1" t="str" cm="1">
        <f t="array" ref="D1:D4">_xlfn.UNIQUE(tbl_transactions!B1:B38)</f>
        <v>Institute Name</v>
      </c>
      <c r="E1" t="str" cm="1">
        <f t="array" ref="E1:E3">_xlfn.UNIQUE(tbl_transactions!O1:O38)</f>
        <v>Gateway</v>
      </c>
      <c r="F1" t="str" cm="1">
        <f t="array" ref="F1:F2">_xlfn.UNIQUE(tbl_transactions!I1:I38)</f>
        <v>Payment Method</v>
      </c>
    </row>
    <row r="2" ht="17" customHeight="1" spans="1:10">
      <c r="A2" s="23" t="s">
        <v>277</v>
      </c>
      <c r="B2" s="24">
        <v>45870</v>
      </c>
      <c r="D2" t="str">
        <v>SBNM College of Pharmacy (D. Pharmacy &amp; B.Pharmarcy</v>
      </c>
      <c r="E2" t="str">
        <v>CASHFREE</v>
      </c>
      <c r="F2" t="str">
        <v>upi</v>
      </c>
      <c r="J2" s="26" t="s">
        <v>278</v>
      </c>
    </row>
    <row r="3" ht="17" customHeight="1" spans="1:11">
      <c r="A3" s="23" t="s">
        <v>279</v>
      </c>
      <c r="B3" s="24">
        <v>45931</v>
      </c>
      <c r="D3" t="str">
        <v>R P College of Pharmacy</v>
      </c>
      <c r="E3" t="str">
        <v>EDVIRON_EASEBUZZ</v>
      </c>
      <c r="F3" t="s">
        <v>79</v>
      </c>
      <c r="J3" s="27" t="s">
        <v>280</v>
      </c>
      <c r="K3" s="27" t="s">
        <v>281</v>
      </c>
    </row>
    <row r="4" ht="17" customHeight="1" spans="1:11">
      <c r="A4" s="23" t="s">
        <v>282</v>
      </c>
      <c r="B4" s="25" t="s">
        <v>66</v>
      </c>
      <c r="D4" t="str">
        <v>ST MICHAEL'S SCHOOL FOR GIRLS</v>
      </c>
      <c r="E4" t="str" cm="1">
        <f t="array" ref="E4:E6">_xlfn.VSTACK("ALL",E2:E3)</f>
        <v>ALL</v>
      </c>
      <c r="J4" s="25" t="s">
        <v>283</v>
      </c>
      <c r="K4" s="25">
        <f>C12</f>
        <v>0</v>
      </c>
    </row>
    <row r="5" ht="17" customHeight="1" spans="1:11">
      <c r="A5" s="23" t="s">
        <v>284</v>
      </c>
      <c r="B5" s="25" t="s">
        <v>71</v>
      </c>
      <c r="D5" t="str" cm="1">
        <f t="array" ref="D5:D8">_xlfn.VSTACK("ALL",D2:D4)</f>
        <v>ALL</v>
      </c>
      <c r="E5" t="str">
        <v>CASHFREE</v>
      </c>
      <c r="J5" s="25" t="s">
        <v>285</v>
      </c>
      <c r="K5" s="25">
        <f>D12</f>
        <v>2</v>
      </c>
    </row>
    <row r="6" ht="18" customHeight="1" spans="1:5">
      <c r="A6" s="23" t="s">
        <v>286</v>
      </c>
      <c r="B6" s="25" t="s">
        <v>25</v>
      </c>
      <c r="D6" t="str">
        <v>SBNM College of Pharmacy (D. Pharmacy &amp; B.Pharmarcy</v>
      </c>
      <c r="E6" t="str">
        <v>EDVIRON_EASEBUZZ</v>
      </c>
    </row>
    <row r="7" spans="4:4">
      <c r="D7" t="str">
        <v>R P College of Pharmacy</v>
      </c>
    </row>
    <row r="8" spans="4:4">
      <c r="D8" t="str">
        <v>ST MICHAEL'S SCHOOL FOR GIRLS</v>
      </c>
    </row>
    <row r="11" s="22" customFormat="1" spans="1:8">
      <c r="A11" s="22" t="s">
        <v>287</v>
      </c>
      <c r="B11" s="22" t="s">
        <v>288</v>
      </c>
      <c r="C11" s="22" t="s">
        <v>187</v>
      </c>
      <c r="D11" s="22" t="str" cm="1">
        <f t="array" ref="D11:D48">tbl_transactions!AA1:AA38</f>
        <v>Edviron Net Revenue</v>
      </c>
      <c r="E11" s="22" t="str" cm="1">
        <f t="array" ref="E11:E48">tbl_transactions!AB1:AB38</f>
        <v>Edviron Gross Revenue</v>
      </c>
      <c r="F11" s="22" t="s">
        <v>289</v>
      </c>
      <c r="G11" s="22" t="s">
        <v>290</v>
      </c>
      <c r="H11" s="22" t="s">
        <v>291</v>
      </c>
    </row>
    <row r="12" spans="1:8">
      <c r="A12" cm="1">
        <f t="array" ref="A12">COUNTIFS(tbl_transactions!K1:K38,"SUCCESS",tbl_transactions!D1:D38,"&gt;="&amp;B2,tbl_transactions!D1:D38,"&lt;="&amp;B3,tbl_transactions!B1:B38,IF(B4="All",tbl_transactions!B1:B38,B4),tbl_transactions!O1:O38,IF(B5="All",tbl_transactions!O1:O38,B5),tbl_transactions!I1:I38,IF(B6="All",tbl_transactions!I1:I38,B6))</f>
        <v>2</v>
      </c>
      <c r="B12" s="25" cm="1">
        <f t="array" ref="B12">SUMIFS(tbl_transactions!H1:H38,tbl_transactions!K1:K38,"SUCCESS",tbl_transactions!D1:D38,"&gt;="&amp;B2,tbl_transactions!D1:D38,"&lt;="&amp;B3,tbl_transactions!B1:B38,IF(B4="All",tbl_transactions!B1:B38,B4),tbl_transactions!O1:O38,IF(B5="All",tbl_transactions!O1:O38,B5),tbl_transactions!I1:I38,IF(B6="All",tbl_transactions!I1:I38,B6))</f>
        <v>68654.72</v>
      </c>
      <c r="C12" s="25" cm="1">
        <f t="array" ref="C12">SUMIFS(tbl_transactions!Z1:Z38,tbl_transactions!K1:K38,"SUCCESS",tbl_transactions!D1:D38,"&gt;="&amp;B2,tbl_transactions!D1:D38,"&lt;="&amp;B3,tbl_transactions!B1:B38,IF(B4="All",tbl_transactions!B1:B38,B4),tbl_transactions!O1:O38,IF(B5="All",tbl_transactions!O1:O38,B5),tbl_transactions!I1:I38,IF(B6="All",tbl_transactions!I1:I38,B6))</f>
        <v>0</v>
      </c>
      <c r="D12">
        <v>2</v>
      </c>
      <c r="E12">
        <v>2</v>
      </c>
      <c r="F12" s="25">
        <f>SUMIFS(tbl_transactions!H1:H38,tbl_transactions!K1:K38,"&lt;&gt;SUCCESS",tbl_transactions!D1:D38,"&gt;="&amp;B2,tbl_transactions!D1:D38,"&lt;="&amp;B3)</f>
        <v>0</v>
      </c>
      <c r="G12" s="25" cm="1">
        <f t="array" ref="G12">COUNTA(_xlfn.UNIQUE(_xlfn._xlws.FILTER(tbl_transactions!L1:L38,tbl_transactions!K1:K38="SUCCESS")))</f>
        <v>36</v>
      </c>
      <c r="H12">
        <f>B12/G12</f>
        <v>1907.07555555556</v>
      </c>
    </row>
    <row r="13" spans="4:5">
      <c r="D13">
        <v>2</v>
      </c>
      <c r="E13">
        <v>2</v>
      </c>
    </row>
    <row r="14" spans="4:5">
      <c r="D14">
        <v>2</v>
      </c>
      <c r="E14">
        <v>2</v>
      </c>
    </row>
    <row r="15" spans="4:5">
      <c r="D15">
        <v>2</v>
      </c>
      <c r="E15">
        <v>2</v>
      </c>
    </row>
    <row r="16" spans="4:5">
      <c r="D16">
        <v>2</v>
      </c>
      <c r="E16">
        <v>2</v>
      </c>
    </row>
    <row r="17" spans="4:5">
      <c r="D17">
        <v>2</v>
      </c>
      <c r="E17">
        <v>2</v>
      </c>
    </row>
    <row r="18" spans="4:5">
      <c r="D18">
        <v>2</v>
      </c>
      <c r="E18">
        <v>2</v>
      </c>
    </row>
    <row r="19" spans="4:5">
      <c r="D19">
        <v>2</v>
      </c>
      <c r="E19">
        <v>2</v>
      </c>
    </row>
    <row r="20" spans="4:5">
      <c r="D20">
        <v>2</v>
      </c>
      <c r="E20">
        <v>2</v>
      </c>
    </row>
    <row r="21" spans="4:5">
      <c r="D21">
        <v>2</v>
      </c>
      <c r="E21">
        <v>2</v>
      </c>
    </row>
    <row r="22" spans="4:5">
      <c r="D22">
        <v>2</v>
      </c>
      <c r="E22">
        <v>2</v>
      </c>
    </row>
    <row r="23" spans="4:5">
      <c r="D23">
        <v>2</v>
      </c>
      <c r="E23">
        <v>2</v>
      </c>
    </row>
    <row r="24" spans="4:5">
      <c r="D24">
        <v>2</v>
      </c>
      <c r="E24">
        <v>2</v>
      </c>
    </row>
    <row r="25" spans="4:5">
      <c r="D25">
        <v>2</v>
      </c>
      <c r="E25">
        <v>2</v>
      </c>
    </row>
    <row r="26" spans="4:5">
      <c r="D26">
        <v>2</v>
      </c>
      <c r="E26">
        <v>2</v>
      </c>
    </row>
    <row r="27" spans="4:5">
      <c r="D27">
        <v>2</v>
      </c>
      <c r="E27">
        <v>2</v>
      </c>
    </row>
    <row r="28" spans="4:5">
      <c r="D28">
        <v>2</v>
      </c>
      <c r="E28">
        <v>2</v>
      </c>
    </row>
    <row r="29" spans="4:5">
      <c r="D29">
        <v>2</v>
      </c>
      <c r="E29">
        <v>2</v>
      </c>
    </row>
    <row r="30" spans="4:5">
      <c r="D30">
        <v>2</v>
      </c>
      <c r="E30">
        <v>2</v>
      </c>
    </row>
    <row r="31" spans="4:5">
      <c r="D31">
        <v>2</v>
      </c>
      <c r="E31">
        <v>2</v>
      </c>
    </row>
    <row r="32" spans="4:5">
      <c r="D32">
        <v>2</v>
      </c>
      <c r="E32">
        <v>2</v>
      </c>
    </row>
    <row r="33" spans="4:5">
      <c r="D33">
        <v>2</v>
      </c>
      <c r="E33">
        <v>2</v>
      </c>
    </row>
    <row r="34" spans="4:5">
      <c r="D34">
        <v>2</v>
      </c>
      <c r="E34">
        <v>2</v>
      </c>
    </row>
    <row r="35" spans="4:5">
      <c r="D35">
        <v>2</v>
      </c>
      <c r="E35">
        <v>2</v>
      </c>
    </row>
    <row r="36" spans="4:5">
      <c r="D36">
        <v>2</v>
      </c>
      <c r="E36">
        <v>2</v>
      </c>
    </row>
    <row r="37" spans="4:5">
      <c r="D37">
        <v>2</v>
      </c>
      <c r="E37">
        <v>2</v>
      </c>
    </row>
    <row r="38" spans="4:5">
      <c r="D38">
        <v>2</v>
      </c>
      <c r="E38">
        <v>2</v>
      </c>
    </row>
    <row r="39" spans="4:5">
      <c r="D39">
        <v>2</v>
      </c>
      <c r="E39">
        <v>2</v>
      </c>
    </row>
    <row r="40" spans="4:5">
      <c r="D40">
        <v>2</v>
      </c>
      <c r="E40">
        <v>2</v>
      </c>
    </row>
    <row r="41" spans="4:5">
      <c r="D41">
        <v>2</v>
      </c>
      <c r="E41">
        <v>2</v>
      </c>
    </row>
    <row r="42" spans="4:5">
      <c r="D42">
        <v>2</v>
      </c>
      <c r="E42">
        <v>2</v>
      </c>
    </row>
    <row r="43" spans="4:5">
      <c r="D43">
        <v>2</v>
      </c>
      <c r="E43">
        <v>2</v>
      </c>
    </row>
    <row r="44" spans="4:5">
      <c r="D44">
        <v>2</v>
      </c>
      <c r="E44">
        <v>2</v>
      </c>
    </row>
    <row r="45" spans="4:5">
      <c r="D45">
        <v>2</v>
      </c>
      <c r="E45">
        <v>2</v>
      </c>
    </row>
    <row r="46" spans="4:5">
      <c r="D46">
        <v>2</v>
      </c>
      <c r="E46">
        <v>2</v>
      </c>
    </row>
    <row r="47" spans="4:5">
      <c r="D47">
        <v>2</v>
      </c>
      <c r="E47">
        <v>2</v>
      </c>
    </row>
    <row r="48" spans="4:5">
      <c r="D48">
        <v>2</v>
      </c>
      <c r="E48">
        <v>2</v>
      </c>
    </row>
  </sheetData>
  <dataValidations count="5">
    <dataValidation type="date" operator="between" allowBlank="1" showInputMessage="1" showErrorMessage="1" errorTitle="Date" error="Enter date only" promptTitle="Enter date" prompt="2025-01-01" sqref="B2">
      <formula1>45658</formula1>
      <formula2>46022</formula2>
    </dataValidation>
    <dataValidation type="date" operator="between" allowBlank="1" showInputMessage="1" showErrorMessage="1" errorTitle="Date" error="Please enter the date&#10;2025-01-01" promptTitle="Enter date" prompt="2025-01-01" sqref="B3">
      <formula1>45658</formula1>
      <formula2>46022</formula2>
    </dataValidation>
    <dataValidation type="list" allowBlank="1" showInputMessage="1" showErrorMessage="1" errorTitle="Please select" sqref="B4">
      <formula1>$D$1:$D$8</formula1>
    </dataValidation>
    <dataValidation type="list" allowBlank="1" showInputMessage="1" showErrorMessage="1" errorTitle="Select" promptTitle="Select" sqref="B5">
      <formula1>$E$1:$E$6</formula1>
    </dataValidation>
    <dataValidation type="list" allowBlank="1" showInputMessage="1" showErrorMessage="1" errorTitle="Select" promptTitle="select" sqref="B6">
      <formula1>$F$1:$F$3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showGridLines="0" zoomScale="55" zoomScaleNormal="55" workbookViewId="0">
      <selection activeCell="L28" sqref="L28"/>
    </sheetView>
  </sheetViews>
  <sheetFormatPr defaultColWidth="8.88888888888889" defaultRowHeight="14.4"/>
  <cols>
    <col min="1" max="1" width="11.6666666666667"/>
    <col min="2" max="3" width="28.4444444444444"/>
    <col min="4" max="4" width="26" customWidth="1"/>
    <col min="5" max="5" width="11.6666666666667"/>
    <col min="6" max="6" width="52.2222222222222" customWidth="1"/>
    <col min="7" max="7" width="23.4444444444444" customWidth="1"/>
    <col min="8" max="9" width="23.4444444444444"/>
    <col min="10" max="10" width="28.4444444444444"/>
    <col min="11" max="11" width="11.6666666666667"/>
    <col min="12" max="12" width="34"/>
    <col min="17" max="17" width="19.2222222222222"/>
    <col min="18" max="18" width="23.4444444444444"/>
  </cols>
  <sheetData>
    <row r="1" ht="17" customHeight="1" spans="1:8">
      <c r="A1" s="14" t="s">
        <v>277</v>
      </c>
      <c r="B1" s="14">
        <f>Modeling!B2</f>
        <v>45870</v>
      </c>
      <c r="C1" s="15" t="s">
        <v>287</v>
      </c>
      <c r="D1" s="15"/>
      <c r="E1" s="16"/>
      <c r="F1" s="17" t="s">
        <v>288</v>
      </c>
      <c r="G1" s="17"/>
      <c r="H1" s="17"/>
    </row>
    <row r="2" ht="17" customHeight="1" spans="1:8">
      <c r="A2" s="14" t="s">
        <v>279</v>
      </c>
      <c r="B2" s="14">
        <f>Modeling!B3</f>
        <v>45931</v>
      </c>
      <c r="C2" s="18">
        <f>Modeling!A12</f>
        <v>2</v>
      </c>
      <c r="D2" s="18"/>
      <c r="E2" s="19"/>
      <c r="F2" s="20">
        <f>Modeling!B12</f>
        <v>68654.72</v>
      </c>
      <c r="G2" s="15"/>
      <c r="H2" s="16"/>
    </row>
    <row r="3" ht="17" customHeight="1" spans="1:2">
      <c r="A3" s="14" t="s">
        <v>283</v>
      </c>
      <c r="B3" s="14" t="str">
        <f>Modeling!B4</f>
        <v>ST MICHAEL'S SCHOOL FOR GIRLS</v>
      </c>
    </row>
    <row r="4" ht="17" customHeight="1" spans="1:10">
      <c r="A4" s="14" t="s">
        <v>13</v>
      </c>
      <c r="B4" s="14" t="str">
        <f>Modeling!B5</f>
        <v>EDVIRON_EASEBUZZ</v>
      </c>
      <c r="C4" t="s">
        <v>13</v>
      </c>
      <c r="D4" t="s">
        <v>292</v>
      </c>
      <c r="F4" t="s">
        <v>1</v>
      </c>
      <c r="G4" t="s">
        <v>231</v>
      </c>
      <c r="I4" t="s">
        <v>182</v>
      </c>
      <c r="J4" t="s">
        <v>293</v>
      </c>
    </row>
    <row r="5" ht="17" customHeight="1" spans="1:10">
      <c r="A5" s="14" t="s">
        <v>7</v>
      </c>
      <c r="B5" s="14" t="str">
        <f>Modeling!B6</f>
        <v>upi</v>
      </c>
      <c r="C5" t="s">
        <v>30</v>
      </c>
      <c r="D5">
        <v>78234.24</v>
      </c>
      <c r="E5" s="21"/>
      <c r="F5" t="s">
        <v>32</v>
      </c>
      <c r="G5">
        <v>74431.88</v>
      </c>
      <c r="I5" t="s">
        <v>236</v>
      </c>
      <c r="J5">
        <v>2</v>
      </c>
    </row>
    <row r="6" ht="17" customHeight="1" spans="1:10">
      <c r="A6" s="14" t="s">
        <v>287</v>
      </c>
      <c r="B6" s="14">
        <f>Modeling!A12</f>
        <v>2</v>
      </c>
      <c r="C6" t="s">
        <v>71</v>
      </c>
      <c r="D6">
        <v>814241.08</v>
      </c>
      <c r="F6" t="s">
        <v>21</v>
      </c>
      <c r="G6">
        <v>3802.36</v>
      </c>
      <c r="I6" t="s">
        <v>237</v>
      </c>
      <c r="J6">
        <v>2</v>
      </c>
    </row>
    <row r="7" ht="17" customHeight="1" spans="1:10">
      <c r="A7" s="14" t="s">
        <v>288</v>
      </c>
      <c r="B7" s="14">
        <f>Modeling!B12</f>
        <v>68654.72</v>
      </c>
      <c r="C7" t="s">
        <v>273</v>
      </c>
      <c r="D7">
        <v>892475.32</v>
      </c>
      <c r="F7" t="s">
        <v>66</v>
      </c>
      <c r="G7">
        <v>814241.08</v>
      </c>
      <c r="I7" t="s">
        <v>238</v>
      </c>
      <c r="J7">
        <v>2</v>
      </c>
    </row>
    <row r="8" ht="17" customHeight="1" spans="1:10">
      <c r="A8" s="14" t="s">
        <v>187</v>
      </c>
      <c r="B8" s="14">
        <f>Modeling!C12</f>
        <v>0</v>
      </c>
      <c r="F8" t="s">
        <v>273</v>
      </c>
      <c r="G8">
        <v>892475.32</v>
      </c>
      <c r="I8" t="s">
        <v>239</v>
      </c>
      <c r="J8">
        <v>2</v>
      </c>
    </row>
    <row r="9" ht="17" customHeight="1" spans="1:10">
      <c r="A9" s="14" t="s">
        <v>188</v>
      </c>
      <c r="B9" s="14">
        <f>Modeling!D12</f>
        <v>2</v>
      </c>
      <c r="C9" t="s">
        <v>7</v>
      </c>
      <c r="D9" t="s">
        <v>294</v>
      </c>
      <c r="I9" t="s">
        <v>240</v>
      </c>
      <c r="J9">
        <v>2</v>
      </c>
    </row>
    <row r="10" ht="17" customHeight="1" spans="1:10">
      <c r="A10" s="14" t="s">
        <v>189</v>
      </c>
      <c r="B10" s="14">
        <f>Modeling!E12</f>
        <v>2</v>
      </c>
      <c r="C10" t="s">
        <v>25</v>
      </c>
      <c r="D10">
        <v>892475.32</v>
      </c>
      <c r="I10" t="s">
        <v>241</v>
      </c>
      <c r="J10">
        <v>2</v>
      </c>
    </row>
    <row r="11" ht="17" customHeight="1" spans="1:10">
      <c r="A11" s="14" t="s">
        <v>289</v>
      </c>
      <c r="B11" s="14">
        <f>Modeling!F12</f>
        <v>0</v>
      </c>
      <c r="C11" t="s">
        <v>273</v>
      </c>
      <c r="D11">
        <v>892475.32</v>
      </c>
      <c r="I11" t="s">
        <v>242</v>
      </c>
      <c r="J11">
        <v>2</v>
      </c>
    </row>
    <row r="12" ht="17" customHeight="1" spans="1:10">
      <c r="A12" s="14" t="s">
        <v>290</v>
      </c>
      <c r="B12" s="14">
        <f>Modeling!G12</f>
        <v>36</v>
      </c>
      <c r="I12" t="s">
        <v>243</v>
      </c>
      <c r="J12">
        <v>2</v>
      </c>
    </row>
    <row r="13" ht="17" customHeight="1" spans="1:10">
      <c r="A13" s="14" t="s">
        <v>295</v>
      </c>
      <c r="B13" s="14">
        <f>Modeling!H12</f>
        <v>1907.07555555556</v>
      </c>
      <c r="I13" t="s">
        <v>244</v>
      </c>
      <c r="J13">
        <v>2</v>
      </c>
    </row>
    <row r="14" spans="9:10">
      <c r="I14" t="s">
        <v>245</v>
      </c>
      <c r="J14">
        <v>2</v>
      </c>
    </row>
    <row r="15" spans="9:10">
      <c r="I15" t="s">
        <v>246</v>
      </c>
      <c r="J15">
        <v>2</v>
      </c>
    </row>
    <row r="16" spans="9:10">
      <c r="I16" t="s">
        <v>247</v>
      </c>
      <c r="J16">
        <v>2</v>
      </c>
    </row>
    <row r="17" spans="9:10">
      <c r="I17" t="s">
        <v>248</v>
      </c>
      <c r="J17">
        <v>2</v>
      </c>
    </row>
    <row r="18" spans="9:10">
      <c r="I18" t="s">
        <v>249</v>
      </c>
      <c r="J18">
        <v>2</v>
      </c>
    </row>
    <row r="19" spans="9:10">
      <c r="I19" t="s">
        <v>250</v>
      </c>
      <c r="J19">
        <v>2</v>
      </c>
    </row>
    <row r="20" spans="9:10">
      <c r="I20" t="s">
        <v>251</v>
      </c>
      <c r="J20">
        <v>2</v>
      </c>
    </row>
    <row r="21" spans="9:10">
      <c r="I21" t="s">
        <v>252</v>
      </c>
      <c r="J21">
        <v>2</v>
      </c>
    </row>
    <row r="22" spans="9:10">
      <c r="I22" t="s">
        <v>253</v>
      </c>
      <c r="J22">
        <v>2</v>
      </c>
    </row>
    <row r="23" spans="9:10">
      <c r="I23" t="s">
        <v>254</v>
      </c>
      <c r="J23">
        <v>2</v>
      </c>
    </row>
    <row r="24" spans="9:10">
      <c r="I24" t="s">
        <v>255</v>
      </c>
      <c r="J24">
        <v>2</v>
      </c>
    </row>
    <row r="25" spans="9:10">
      <c r="I25" t="s">
        <v>256</v>
      </c>
      <c r="J25">
        <v>2</v>
      </c>
    </row>
    <row r="26" spans="9:10">
      <c r="I26" t="s">
        <v>257</v>
      </c>
      <c r="J26">
        <v>2</v>
      </c>
    </row>
    <row r="27" spans="9:10">
      <c r="I27" t="s">
        <v>258</v>
      </c>
      <c r="J27">
        <v>2</v>
      </c>
    </row>
    <row r="28" spans="9:10">
      <c r="I28" t="s">
        <v>259</v>
      </c>
      <c r="J28">
        <v>2</v>
      </c>
    </row>
    <row r="29" spans="9:10">
      <c r="I29" t="s">
        <v>260</v>
      </c>
      <c r="J29">
        <v>2</v>
      </c>
    </row>
    <row r="30" spans="9:10">
      <c r="I30" t="s">
        <v>261</v>
      </c>
      <c r="J30">
        <v>2</v>
      </c>
    </row>
    <row r="31" spans="9:10">
      <c r="I31" t="s">
        <v>262</v>
      </c>
      <c r="J31">
        <v>2</v>
      </c>
    </row>
    <row r="32" spans="9:10">
      <c r="I32" t="s">
        <v>263</v>
      </c>
      <c r="J32">
        <v>2</v>
      </c>
    </row>
    <row r="33" spans="9:10">
      <c r="I33" t="s">
        <v>264</v>
      </c>
      <c r="J33">
        <v>2</v>
      </c>
    </row>
    <row r="34" spans="9:10">
      <c r="I34" t="s">
        <v>265</v>
      </c>
      <c r="J34">
        <v>2</v>
      </c>
    </row>
    <row r="35" spans="9:10">
      <c r="I35" t="s">
        <v>266</v>
      </c>
      <c r="J35">
        <v>2</v>
      </c>
    </row>
    <row r="36" spans="9:10">
      <c r="I36" t="s">
        <v>267</v>
      </c>
      <c r="J36">
        <v>2</v>
      </c>
    </row>
    <row r="37" spans="9:10">
      <c r="I37" t="s">
        <v>268</v>
      </c>
      <c r="J37">
        <v>2</v>
      </c>
    </row>
    <row r="38" spans="9:10">
      <c r="I38" t="s">
        <v>269</v>
      </c>
      <c r="J38">
        <v>2</v>
      </c>
    </row>
    <row r="39" spans="9:10">
      <c r="I39" t="s">
        <v>270</v>
      </c>
      <c r="J39">
        <v>2</v>
      </c>
    </row>
    <row r="40" spans="9:10">
      <c r="I40" t="s">
        <v>271</v>
      </c>
      <c r="J40">
        <v>2</v>
      </c>
    </row>
    <row r="41" spans="9:10">
      <c r="I41" t="s">
        <v>272</v>
      </c>
      <c r="J41">
        <v>2</v>
      </c>
    </row>
    <row r="42" spans="9:10">
      <c r="I42" t="s">
        <v>273</v>
      </c>
      <c r="J42">
        <v>74</v>
      </c>
    </row>
  </sheetData>
  <mergeCells count="4">
    <mergeCell ref="C1:E1"/>
    <mergeCell ref="F1:H1"/>
    <mergeCell ref="C2:E2"/>
    <mergeCell ref="F2:H2"/>
  </mergeCells>
  <pageMargins left="0.75" right="0.75" top="1" bottom="1" header="0.5" footer="0.5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"/>
  <sheetViews>
    <sheetView showGridLines="0" topLeftCell="A23" workbookViewId="0">
      <selection activeCell="B46" sqref="B46"/>
    </sheetView>
  </sheetViews>
  <sheetFormatPr defaultColWidth="8.88888888888889" defaultRowHeight="14.4" outlineLevelCol="5"/>
  <cols>
    <col min="1" max="1" width="86.8888888888889" customWidth="1"/>
    <col min="2" max="2" width="63.8888888888889" customWidth="1"/>
    <col min="3" max="3" width="74" customWidth="1"/>
    <col min="4" max="4" width="60.6666666666667" customWidth="1"/>
    <col min="5" max="5" width="96.6666666666667" customWidth="1"/>
  </cols>
  <sheetData>
    <row r="1" ht="21" spans="1:6">
      <c r="A1" s="1" t="s">
        <v>296</v>
      </c>
      <c r="B1" s="2"/>
      <c r="C1" s="2"/>
      <c r="D1" s="2"/>
      <c r="E1" s="2"/>
      <c r="F1" s="3"/>
    </row>
    <row r="2" ht="21" spans="1:6">
      <c r="A2" s="4" t="s">
        <v>297</v>
      </c>
      <c r="B2" s="5"/>
      <c r="C2" s="5"/>
      <c r="D2" s="5"/>
      <c r="E2" s="5"/>
      <c r="F2" s="6"/>
    </row>
    <row r="3" ht="23.4" spans="1:5">
      <c r="A3" s="7" t="s">
        <v>298</v>
      </c>
      <c r="B3" s="8" t="s">
        <v>299</v>
      </c>
      <c r="C3" s="8" t="s">
        <v>300</v>
      </c>
      <c r="D3" s="8" t="s">
        <v>301</v>
      </c>
      <c r="E3" s="8" t="s">
        <v>302</v>
      </c>
    </row>
    <row r="4" spans="1:1">
      <c r="A4" s="9"/>
    </row>
    <row r="5" spans="1:5">
      <c r="A5" s="9" t="s">
        <v>303</v>
      </c>
      <c r="B5" t="s">
        <v>304</v>
      </c>
      <c r="C5" t="s">
        <v>305</v>
      </c>
      <c r="D5" t="s">
        <v>306</v>
      </c>
      <c r="E5" t="s">
        <v>307</v>
      </c>
    </row>
    <row r="6" spans="1:4">
      <c r="A6" s="9"/>
      <c r="D6" t="s">
        <v>308</v>
      </c>
    </row>
    <row r="7" ht="18" spans="1:5">
      <c r="A7" s="10" t="s">
        <v>309</v>
      </c>
      <c r="B7" t="s">
        <v>310</v>
      </c>
      <c r="C7" s="11" t="s">
        <v>311</v>
      </c>
      <c r="D7" t="s">
        <v>312</v>
      </c>
      <c r="E7" t="s">
        <v>313</v>
      </c>
    </row>
    <row r="8" spans="1:5">
      <c r="A8" s="9"/>
      <c r="E8" t="s">
        <v>314</v>
      </c>
    </row>
    <row r="9" ht="18" spans="1:5">
      <c r="A9" s="12" t="s">
        <v>315</v>
      </c>
      <c r="B9" t="s">
        <v>316</v>
      </c>
      <c r="C9" t="s">
        <v>317</v>
      </c>
      <c r="D9" t="s">
        <v>318</v>
      </c>
      <c r="E9" t="s">
        <v>319</v>
      </c>
    </row>
    <row r="10" spans="1:5">
      <c r="A10" s="9"/>
      <c r="E10" t="s">
        <v>320</v>
      </c>
    </row>
    <row r="11" spans="1:5">
      <c r="A11" s="9" t="s">
        <v>321</v>
      </c>
      <c r="B11" t="s">
        <v>322</v>
      </c>
      <c r="C11" s="13" t="s">
        <v>323</v>
      </c>
      <c r="D11" s="13" t="s">
        <v>324</v>
      </c>
      <c r="E11" t="s">
        <v>325</v>
      </c>
    </row>
    <row r="12" spans="1:1">
      <c r="A12" s="9" t="s">
        <v>326</v>
      </c>
    </row>
    <row r="13" spans="1:5">
      <c r="A13" s="9"/>
      <c r="B13" t="s">
        <v>327</v>
      </c>
      <c r="C13" s="13" t="s">
        <v>328</v>
      </c>
      <c r="D13" s="13" t="s">
        <v>329</v>
      </c>
      <c r="E13" t="s">
        <v>330</v>
      </c>
    </row>
    <row r="14" spans="1:1">
      <c r="A14" s="9" t="s">
        <v>331</v>
      </c>
    </row>
    <row r="15" spans="1:4">
      <c r="A15" s="9"/>
      <c r="B15" t="s">
        <v>332</v>
      </c>
      <c r="C15" s="13" t="s">
        <v>333</v>
      </c>
      <c r="D15" s="13" t="s">
        <v>334</v>
      </c>
    </row>
    <row r="16" spans="1:1">
      <c r="A16" s="9" t="s">
        <v>335</v>
      </c>
    </row>
    <row r="17" spans="1:3">
      <c r="A17" s="9"/>
      <c r="B17" t="s">
        <v>336</v>
      </c>
      <c r="C17" s="13" t="s">
        <v>337</v>
      </c>
    </row>
    <row r="18" spans="1:1">
      <c r="A18" s="9" t="s">
        <v>284</v>
      </c>
    </row>
    <row r="19" spans="1:3">
      <c r="A19" s="9"/>
      <c r="C19" t="s">
        <v>338</v>
      </c>
    </row>
    <row r="20" spans="1:1">
      <c r="A20" s="9" t="s">
        <v>286</v>
      </c>
    </row>
    <row r="21" spans="1:3">
      <c r="A21" s="9"/>
      <c r="C21" t="s">
        <v>339</v>
      </c>
    </row>
    <row r="22" spans="1:1">
      <c r="A22" s="9" t="s">
        <v>340</v>
      </c>
    </row>
    <row r="23" spans="1:3">
      <c r="A23" s="9"/>
      <c r="C23" s="13" t="s">
        <v>341</v>
      </c>
    </row>
    <row r="24" spans="1:1">
      <c r="A24" s="9" t="s">
        <v>342</v>
      </c>
    </row>
    <row r="25" spans="3:3">
      <c r="C25" s="13" t="s">
        <v>343</v>
      </c>
    </row>
    <row r="26" ht="18" spans="1:1">
      <c r="A26" s="11" t="s">
        <v>344</v>
      </c>
    </row>
    <row r="27" spans="3:3">
      <c r="C27" t="s">
        <v>345</v>
      </c>
    </row>
    <row r="28" spans="1:1">
      <c r="A28" t="s">
        <v>321</v>
      </c>
    </row>
    <row r="29" spans="1:3">
      <c r="A29" t="s">
        <v>346</v>
      </c>
      <c r="C29" s="13" t="s">
        <v>347</v>
      </c>
    </row>
    <row r="30" spans="3:3">
      <c r="C30" s="13" t="s">
        <v>348</v>
      </c>
    </row>
    <row r="31" spans="1:1">
      <c r="A31" t="s">
        <v>349</v>
      </c>
    </row>
    <row r="32" spans="3:3">
      <c r="C32" s="13" t="s">
        <v>350</v>
      </c>
    </row>
    <row r="33" spans="1:3">
      <c r="A33" s="13" t="s">
        <v>351</v>
      </c>
      <c r="C33" s="13" t="s">
        <v>352</v>
      </c>
    </row>
    <row r="35" spans="1:3">
      <c r="A35" s="13" t="s">
        <v>353</v>
      </c>
      <c r="C35" t="s">
        <v>354</v>
      </c>
    </row>
    <row r="37" spans="1:3">
      <c r="A37" s="13" t="s">
        <v>13</v>
      </c>
      <c r="C37" s="13" t="s">
        <v>355</v>
      </c>
    </row>
    <row r="38" spans="3:3">
      <c r="C38" s="13" t="s">
        <v>356</v>
      </c>
    </row>
    <row r="39" spans="1:1">
      <c r="A39" s="13" t="s">
        <v>7</v>
      </c>
    </row>
    <row r="40" spans="3:3">
      <c r="C40" s="13" t="s">
        <v>357</v>
      </c>
    </row>
    <row r="41" spans="1:3">
      <c r="A41" s="13" t="s">
        <v>340</v>
      </c>
      <c r="C41" s="13" t="s">
        <v>358</v>
      </c>
    </row>
    <row r="43" ht="18" spans="1:3">
      <c r="A43" t="s">
        <v>359</v>
      </c>
      <c r="C43" s="11" t="s">
        <v>360</v>
      </c>
    </row>
    <row r="45" ht="18" spans="1:3">
      <c r="A45" s="11" t="s">
        <v>361</v>
      </c>
      <c r="C45" t="s">
        <v>362</v>
      </c>
    </row>
    <row r="46" spans="3:3">
      <c r="C46" t="s">
        <v>363</v>
      </c>
    </row>
    <row r="47" spans="1:3">
      <c r="A47" t="s">
        <v>364</v>
      </c>
      <c r="C47" t="s">
        <v>365</v>
      </c>
    </row>
    <row r="48" spans="3:3">
      <c r="C48" t="s">
        <v>366</v>
      </c>
    </row>
    <row r="49" spans="1:3">
      <c r="A49" t="s">
        <v>367</v>
      </c>
      <c r="C49" t="s">
        <v>368</v>
      </c>
    </row>
    <row r="50" spans="1:3">
      <c r="A50" t="s">
        <v>369</v>
      </c>
      <c r="C50" t="s">
        <v>370</v>
      </c>
    </row>
    <row r="52" spans="1:1">
      <c r="A52" t="s">
        <v>371</v>
      </c>
    </row>
    <row r="54" ht="18" spans="1:1">
      <c r="A54" s="11" t="s">
        <v>372</v>
      </c>
    </row>
    <row r="56" spans="1:1">
      <c r="A56" t="s">
        <v>373</v>
      </c>
    </row>
    <row r="57" spans="1:1">
      <c r="A57" t="s">
        <v>374</v>
      </c>
    </row>
    <row r="59" spans="1:1">
      <c r="A59" t="s">
        <v>375</v>
      </c>
    </row>
    <row r="61" ht="18" spans="1:1">
      <c r="A61" s="11" t="s">
        <v>376</v>
      </c>
    </row>
    <row r="63" spans="1:1">
      <c r="A63" t="s">
        <v>373</v>
      </c>
    </row>
    <row r="64" spans="1:1">
      <c r="A64" t="s">
        <v>377</v>
      </c>
    </row>
    <row r="66" spans="1:1">
      <c r="A66" t="s">
        <v>378</v>
      </c>
    </row>
    <row r="68" ht="18" spans="1:1">
      <c r="A68" s="11" t="s">
        <v>379</v>
      </c>
    </row>
    <row r="70" spans="1:1">
      <c r="A70" t="s">
        <v>380</v>
      </c>
    </row>
    <row r="71" spans="1:1">
      <c r="A71" t="s">
        <v>381</v>
      </c>
    </row>
    <row r="73" spans="1:1">
      <c r="A73" t="s">
        <v>382</v>
      </c>
    </row>
    <row r="75" ht="18" spans="1:1">
      <c r="A75" s="11" t="s">
        <v>383</v>
      </c>
    </row>
    <row r="77" spans="1:1">
      <c r="A77" t="s">
        <v>321</v>
      </c>
    </row>
    <row r="78" spans="1:1">
      <c r="A78" t="s">
        <v>384</v>
      </c>
    </row>
    <row r="80" spans="1:1">
      <c r="A80" t="s">
        <v>385</v>
      </c>
    </row>
    <row r="82" ht="18" spans="1:1">
      <c r="A82" s="11" t="s">
        <v>386</v>
      </c>
    </row>
    <row r="84" spans="1:1">
      <c r="A84" t="s">
        <v>373</v>
      </c>
    </row>
    <row r="85" spans="1:1">
      <c r="A85" t="s">
        <v>387</v>
      </c>
    </row>
    <row r="87" spans="1:1">
      <c r="A87" t="s">
        <v>388</v>
      </c>
    </row>
  </sheetData>
  <mergeCells count="2">
    <mergeCell ref="A1:F1"/>
    <mergeCell ref="A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Raw_Data</vt:lpstr>
      <vt:lpstr>Clean_data</vt:lpstr>
      <vt:lpstr>tbl_transactions</vt:lpstr>
      <vt:lpstr>Revenue_Summary</vt:lpstr>
      <vt:lpstr>Partner_Performance</vt:lpstr>
      <vt:lpstr>Gateway_Analysis</vt:lpstr>
      <vt:lpstr>Exposure_Report</vt:lpstr>
      <vt:lpstr>Modeling</vt:lpstr>
      <vt:lpstr>Dashboard</vt:lpstr>
      <vt:lpstr>Assumptions_Notes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ES20IT59 Vanipriya S</cp:lastModifiedBy>
  <dcterms:created xsi:type="dcterms:W3CDTF">2026-03-03T01:47:00Z</dcterms:created>
  <dcterms:modified xsi:type="dcterms:W3CDTF">2026-03-04T10:20:33Z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B421982C1E1E4EBEA72618B4A08D74AD_13</vt:lpwstr>
  </property>
  <property fmtid="{D5CDD505-2E9C-101B-9397-08002B2CF9AE}" pid="3" name="KSOProductBuildVer">
    <vt:lpwstr>1033-12.2.0.23196</vt:lpwstr>
  </property>
</Properties>
</file>